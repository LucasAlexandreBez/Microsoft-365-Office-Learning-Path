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Lucas\Desktop\Repositorys\Microsoft-365-Office-Learning-Path\Excel\Advanced\"/>
    </mc:Choice>
  </mc:AlternateContent>
  <xr:revisionPtr revIDLastSave="0" documentId="13_ncr:1_{E4F9C89A-62C9-4729-9681-041F26F061A7}" xr6:coauthVersionLast="47" xr6:coauthVersionMax="47" xr10:uidLastSave="{00000000-0000-0000-0000-000000000000}"/>
  <bookViews>
    <workbookView xWindow="-120" yWindow="-120" windowWidth="21840" windowHeight="13140" activeTab="1" xr2:uid="{00000000-000D-0000-FFFF-FFFF00000000}"/>
  </bookViews>
  <sheets>
    <sheet name="Folha1" sheetId="1" r:id="rId1"/>
    <sheet name="Fo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" i="2" l="1"/>
  <c r="F4" i="2"/>
  <c r="F5" i="2"/>
  <c r="F6" i="2"/>
  <c r="F7" i="2"/>
  <c r="F8" i="2"/>
  <c r="F3" i="2"/>
  <c r="E3" i="2"/>
  <c r="E4" i="2"/>
  <c r="E5" i="2"/>
  <c r="E6" i="2"/>
  <c r="E7" i="2"/>
  <c r="E8" i="2"/>
  <c r="D4" i="2"/>
  <c r="D5" i="2"/>
  <c r="D6" i="2"/>
  <c r="D7" i="2"/>
  <c r="D8" i="2"/>
  <c r="D3" i="2"/>
  <c r="C4" i="2"/>
  <c r="C5" i="2"/>
  <c r="C6" i="2"/>
  <c r="C7" i="2"/>
  <c r="C8" i="2"/>
  <c r="C3" i="2"/>
  <c r="H4" i="1"/>
  <c r="H5" i="1"/>
  <c r="H6" i="1"/>
  <c r="H7" i="1"/>
  <c r="H8" i="1"/>
  <c r="H3" i="1"/>
  <c r="G4" i="1"/>
  <c r="G5" i="1"/>
  <c r="G6" i="1"/>
  <c r="G7" i="1"/>
  <c r="G8" i="1"/>
  <c r="G3" i="1"/>
  <c r="F4" i="1"/>
  <c r="F5" i="1"/>
  <c r="F6" i="1"/>
  <c r="F7" i="1"/>
  <c r="F8" i="1"/>
  <c r="F3" i="1"/>
  <c r="D4" i="1"/>
  <c r="D5" i="1"/>
  <c r="D6" i="1"/>
  <c r="D7" i="1"/>
  <c r="D8" i="1"/>
  <c r="D3" i="1"/>
</calcChain>
</file>

<file path=xl/sharedStrings.xml><?xml version="1.0" encoding="utf-8"?>
<sst xmlns="http://schemas.openxmlformats.org/spreadsheetml/2006/main" count="28" uniqueCount="27">
  <si>
    <t>Produtos</t>
  </si>
  <si>
    <t>R$ Valor unitario</t>
  </si>
  <si>
    <t>Entrada no estoque</t>
  </si>
  <si>
    <t>R$ Valor no estoque</t>
  </si>
  <si>
    <t>Quantidade vendida</t>
  </si>
  <si>
    <t>R$ Valor Vendido</t>
  </si>
  <si>
    <t>Estoque atualizado</t>
  </si>
  <si>
    <t>R$ Valor do Estoque atual</t>
  </si>
  <si>
    <t>Controle de itens no estoque</t>
  </si>
  <si>
    <t>Arroz</t>
  </si>
  <si>
    <t>Feijao</t>
  </si>
  <si>
    <t>Oleo</t>
  </si>
  <si>
    <t>Trigo</t>
  </si>
  <si>
    <t>Acucar</t>
  </si>
  <si>
    <t>Sabao</t>
  </si>
  <si>
    <t>Desconto do dia</t>
  </si>
  <si>
    <t>Valor unitario</t>
  </si>
  <si>
    <t>Valor do desconto</t>
  </si>
  <si>
    <t>Preço final</t>
  </si>
  <si>
    <t>Camiseta regata</t>
  </si>
  <si>
    <t>Camisa manga curta</t>
  </si>
  <si>
    <t>Camisa manga longa</t>
  </si>
  <si>
    <t>Calça social</t>
  </si>
  <si>
    <t>Calça jeans</t>
  </si>
  <si>
    <t>Bermuda jeans</t>
  </si>
  <si>
    <t>Desconto Direto</t>
  </si>
  <si>
    <t>Diferença em percentual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</si>
</sst>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44" fontId="0" fillId="0" borderId="0" xfId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/>
    <xf numFmtId="44" fontId="0" fillId="0" borderId="1" xfId="1" applyFon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44" fontId="0" fillId="0" borderId="1" xfId="0" applyNumberFormat="1" applyBorder="1" applyAlignment="1">
      <alignment horizontal="center" vertical="center"/>
    </xf>
    <xf numFmtId="44" fontId="0" fillId="0" borderId="1" xfId="0" applyNumberFormat="1" applyBorder="1"/>
    <xf numFmtId="9" fontId="0" fillId="0" borderId="1" xfId="2" applyFont="1" applyBorder="1"/>
    <xf numFmtId="9" fontId="0" fillId="0" borderId="0" xfId="2" applyFont="1"/>
  </cellXfs>
  <cellStyles count="3">
    <cellStyle name="Moeda" xfId="1" builtinId="4"/>
    <cellStyle name="Normal" xfId="0" builtinId="0"/>
    <cellStyle name="Pe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workbookViewId="0">
      <selection activeCell="H10" sqref="H10"/>
    </sheetView>
  </sheetViews>
  <sheetFormatPr defaultRowHeight="15" x14ac:dyDescent="0.25"/>
  <cols>
    <col min="2" max="2" width="12.7109375" customWidth="1"/>
    <col min="3" max="3" width="10.85546875" customWidth="1"/>
    <col min="4" max="4" width="13.5703125" customWidth="1"/>
    <col min="5" max="5" width="12.42578125" customWidth="1"/>
    <col min="6" max="6" width="13.7109375" customWidth="1"/>
    <col min="7" max="7" width="13.28515625" customWidth="1"/>
    <col min="8" max="8" width="14.7109375" customWidth="1"/>
  </cols>
  <sheetData>
    <row r="1" spans="1:10" x14ac:dyDescent="0.25">
      <c r="A1" s="2" t="s">
        <v>8</v>
      </c>
      <c r="B1" s="2"/>
      <c r="C1" s="2"/>
      <c r="D1" s="2"/>
      <c r="E1" s="2"/>
      <c r="F1" s="2"/>
      <c r="G1" s="2"/>
      <c r="H1" s="2"/>
    </row>
    <row r="2" spans="1:10" ht="30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1"/>
      <c r="J2" s="1"/>
    </row>
    <row r="3" spans="1:10" x14ac:dyDescent="0.25">
      <c r="A3" t="s">
        <v>9</v>
      </c>
      <c r="B3" s="5">
        <v>7</v>
      </c>
      <c r="C3" s="6">
        <v>50</v>
      </c>
      <c r="D3" s="5">
        <f>B3*C3</f>
        <v>350</v>
      </c>
      <c r="E3" s="6">
        <v>20</v>
      </c>
      <c r="F3" s="5">
        <f>E3*B3</f>
        <v>140</v>
      </c>
      <c r="G3" s="6">
        <f>C3-E3</f>
        <v>30</v>
      </c>
      <c r="H3" s="5">
        <f>B3*G3</f>
        <v>210</v>
      </c>
    </row>
    <row r="4" spans="1:10" x14ac:dyDescent="0.25">
      <c r="A4" t="s">
        <v>10</v>
      </c>
      <c r="B4" s="5">
        <v>9</v>
      </c>
      <c r="C4" s="6">
        <v>100</v>
      </c>
      <c r="D4" s="5">
        <f t="shared" ref="D4:D8" si="0">B4*C4</f>
        <v>900</v>
      </c>
      <c r="E4" s="6">
        <v>47</v>
      </c>
      <c r="F4" s="5">
        <f t="shared" ref="F4:F8" si="1">E4*B4</f>
        <v>423</v>
      </c>
      <c r="G4" s="6">
        <f t="shared" ref="G4:G8" si="2">C4-E4</f>
        <v>53</v>
      </c>
      <c r="H4" s="5">
        <f t="shared" ref="H4:H8" si="3">B4*G4</f>
        <v>477</v>
      </c>
    </row>
    <row r="5" spans="1:10" x14ac:dyDescent="0.25">
      <c r="A5" t="s">
        <v>11</v>
      </c>
      <c r="B5" s="5">
        <v>11</v>
      </c>
      <c r="C5" s="6">
        <v>200</v>
      </c>
      <c r="D5" s="5">
        <f t="shared" si="0"/>
        <v>2200</v>
      </c>
      <c r="E5" s="6">
        <v>112</v>
      </c>
      <c r="F5" s="5">
        <f t="shared" si="1"/>
        <v>1232</v>
      </c>
      <c r="G5" s="6">
        <f t="shared" si="2"/>
        <v>88</v>
      </c>
      <c r="H5" s="5">
        <f t="shared" si="3"/>
        <v>968</v>
      </c>
    </row>
    <row r="6" spans="1:10" x14ac:dyDescent="0.25">
      <c r="A6" t="s">
        <v>12</v>
      </c>
      <c r="B6" s="5">
        <v>4.5</v>
      </c>
      <c r="C6" s="6">
        <v>500</v>
      </c>
      <c r="D6" s="5">
        <f t="shared" si="0"/>
        <v>2250</v>
      </c>
      <c r="E6" s="6">
        <v>358</v>
      </c>
      <c r="F6" s="5">
        <f t="shared" si="1"/>
        <v>1611</v>
      </c>
      <c r="G6" s="6">
        <f t="shared" si="2"/>
        <v>142</v>
      </c>
      <c r="H6" s="5">
        <f t="shared" si="3"/>
        <v>639</v>
      </c>
    </row>
    <row r="7" spans="1:10" x14ac:dyDescent="0.25">
      <c r="A7" t="s">
        <v>13</v>
      </c>
      <c r="B7" s="5">
        <v>6.7</v>
      </c>
      <c r="C7" s="6">
        <v>300</v>
      </c>
      <c r="D7" s="5">
        <f t="shared" si="0"/>
        <v>2010</v>
      </c>
      <c r="E7" s="6">
        <v>215</v>
      </c>
      <c r="F7" s="5">
        <f t="shared" si="1"/>
        <v>1440.5</v>
      </c>
      <c r="G7" s="6">
        <f t="shared" si="2"/>
        <v>85</v>
      </c>
      <c r="H7" s="5">
        <f t="shared" si="3"/>
        <v>569.5</v>
      </c>
    </row>
    <row r="8" spans="1:10" x14ac:dyDescent="0.25">
      <c r="A8" t="s">
        <v>14</v>
      </c>
      <c r="B8" s="5">
        <v>1.6</v>
      </c>
      <c r="C8" s="6">
        <v>400</v>
      </c>
      <c r="D8" s="5">
        <f t="shared" si="0"/>
        <v>640</v>
      </c>
      <c r="E8" s="6">
        <v>364</v>
      </c>
      <c r="F8" s="5">
        <f t="shared" si="1"/>
        <v>582.4</v>
      </c>
      <c r="G8" s="6">
        <f t="shared" si="2"/>
        <v>36</v>
      </c>
      <c r="H8" s="5">
        <f t="shared" si="3"/>
        <v>57.6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0ADFB-63E3-4988-96F5-379FEBF80FB9}">
  <dimension ref="A1:G8"/>
  <sheetViews>
    <sheetView tabSelected="1" workbookViewId="0">
      <selection activeCell="I4" sqref="I4"/>
    </sheetView>
  </sheetViews>
  <sheetFormatPr defaultRowHeight="15" x14ac:dyDescent="0.25"/>
  <cols>
    <col min="1" max="1" width="19.140625" bestFit="1" customWidth="1"/>
    <col min="2" max="2" width="11.42578125" customWidth="1"/>
    <col min="3" max="3" width="14.140625" customWidth="1"/>
    <col min="4" max="4" width="11.140625" customWidth="1"/>
    <col min="5" max="5" width="9.5703125" bestFit="1" customWidth="1"/>
    <col min="6" max="6" width="13.140625" customWidth="1"/>
  </cols>
  <sheetData>
    <row r="1" spans="1:7" x14ac:dyDescent="0.25">
      <c r="A1" s="3" t="s">
        <v>15</v>
      </c>
      <c r="B1" s="9">
        <v>0.15</v>
      </c>
    </row>
    <row r="2" spans="1:7" s="1" customFormat="1" ht="30" x14ac:dyDescent="0.25">
      <c r="A2" s="4" t="s">
        <v>0</v>
      </c>
      <c r="B2" s="4" t="s">
        <v>16</v>
      </c>
      <c r="C2" s="4" t="s">
        <v>17</v>
      </c>
      <c r="D2" s="4" t="s">
        <v>18</v>
      </c>
      <c r="E2" s="3" t="s">
        <v>25</v>
      </c>
      <c r="F2" s="3" t="s">
        <v>26</v>
      </c>
    </row>
    <row r="3" spans="1:7" x14ac:dyDescent="0.25">
      <c r="A3" s="7" t="s">
        <v>19</v>
      </c>
      <c r="B3" s="8">
        <v>19</v>
      </c>
      <c r="C3" s="10">
        <f>B3*$B$1</f>
        <v>2.85</v>
      </c>
      <c r="D3" s="8">
        <f>B3-C3</f>
        <v>16.149999999999999</v>
      </c>
      <c r="E3" s="11">
        <f>B3-(B3*$B$1)</f>
        <v>16.149999999999999</v>
      </c>
      <c r="F3" s="12">
        <f>D3/B3</f>
        <v>0.85</v>
      </c>
      <c r="G3" s="13">
        <f>C3/B3</f>
        <v>0.15</v>
      </c>
    </row>
    <row r="4" spans="1:7" x14ac:dyDescent="0.25">
      <c r="A4" s="7" t="s">
        <v>20</v>
      </c>
      <c r="B4" s="8">
        <v>33</v>
      </c>
      <c r="C4" s="10">
        <f t="shared" ref="C4:C8" si="0">B4*$B$1</f>
        <v>4.95</v>
      </c>
      <c r="D4" s="8">
        <f t="shared" ref="D4:D8" si="1">B4-C4</f>
        <v>28.05</v>
      </c>
      <c r="E4" s="11">
        <f t="shared" ref="E4:E8" si="2">B4-(B4*$B$1)</f>
        <v>28.05</v>
      </c>
      <c r="F4" s="12">
        <f t="shared" ref="F4:F8" si="3">D4/B4</f>
        <v>0.85</v>
      </c>
    </row>
    <row r="5" spans="1:7" x14ac:dyDescent="0.25">
      <c r="A5" s="7" t="s">
        <v>21</v>
      </c>
      <c r="B5" s="8">
        <v>43</v>
      </c>
      <c r="C5" s="10">
        <f t="shared" si="0"/>
        <v>6.45</v>
      </c>
      <c r="D5" s="8">
        <f t="shared" si="1"/>
        <v>36.549999999999997</v>
      </c>
      <c r="E5" s="11">
        <f t="shared" si="2"/>
        <v>36.549999999999997</v>
      </c>
      <c r="F5" s="12">
        <f t="shared" si="3"/>
        <v>0.85</v>
      </c>
    </row>
    <row r="6" spans="1:7" x14ac:dyDescent="0.25">
      <c r="A6" s="7" t="s">
        <v>22</v>
      </c>
      <c r="B6" s="8">
        <v>42</v>
      </c>
      <c r="C6" s="10">
        <f t="shared" si="0"/>
        <v>6.3</v>
      </c>
      <c r="D6" s="8">
        <f t="shared" si="1"/>
        <v>35.700000000000003</v>
      </c>
      <c r="E6" s="11">
        <f t="shared" si="2"/>
        <v>35.700000000000003</v>
      </c>
      <c r="F6" s="12">
        <f t="shared" si="3"/>
        <v>0.85000000000000009</v>
      </c>
    </row>
    <row r="7" spans="1:7" x14ac:dyDescent="0.25">
      <c r="A7" s="7" t="s">
        <v>23</v>
      </c>
      <c r="B7" s="8">
        <v>37</v>
      </c>
      <c r="C7" s="10">
        <f t="shared" si="0"/>
        <v>5.55</v>
      </c>
      <c r="D7" s="8">
        <f t="shared" si="1"/>
        <v>31.45</v>
      </c>
      <c r="E7" s="11">
        <f t="shared" si="2"/>
        <v>31.45</v>
      </c>
      <c r="F7" s="12">
        <f t="shared" si="3"/>
        <v>0.85</v>
      </c>
    </row>
    <row r="8" spans="1:7" x14ac:dyDescent="0.25">
      <c r="A8" s="7" t="s">
        <v>24</v>
      </c>
      <c r="B8" s="8">
        <v>23</v>
      </c>
      <c r="C8" s="10">
        <f t="shared" si="0"/>
        <v>3.4499999999999997</v>
      </c>
      <c r="D8" s="8">
        <f t="shared" si="1"/>
        <v>19.55</v>
      </c>
      <c r="E8" s="11">
        <f t="shared" si="2"/>
        <v>19.55</v>
      </c>
      <c r="F8" s="12">
        <f t="shared" si="3"/>
        <v>0.85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Folha1</vt:lpstr>
      <vt:lpstr>Folha2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Alexandre</dc:creator>
  <cp:lastModifiedBy>Lucas Alexandre</cp:lastModifiedBy>
  <dcterms:created xsi:type="dcterms:W3CDTF">2015-06-05T18:19:34Z</dcterms:created>
  <dcterms:modified xsi:type="dcterms:W3CDTF">2026-02-20T18:40:38Z</dcterms:modified>
</cp:coreProperties>
</file>