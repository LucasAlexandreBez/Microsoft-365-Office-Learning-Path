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Advanced\"/>
    </mc:Choice>
  </mc:AlternateContent>
  <xr:revisionPtr revIDLastSave="0" documentId="13_ncr:1_{06B799F1-40B6-47DE-812C-89C56F305997}" xr6:coauthVersionLast="47" xr6:coauthVersionMax="47" xr10:uidLastSave="{00000000-0000-0000-0000-000000000000}"/>
  <bookViews>
    <workbookView xWindow="-120" yWindow="-120" windowWidth="21840" windowHeight="13140" activeTab="7" xr2:uid="{00000000-000D-0000-FFFF-FFFF00000000}"/>
  </bookViews>
  <sheets>
    <sheet name="Folha1" sheetId="1" r:id="rId1"/>
    <sheet name="Folha2" sheetId="2" r:id="rId2"/>
    <sheet name="Folha3" sheetId="3" r:id="rId3"/>
    <sheet name="Folha4" sheetId="4" r:id="rId4"/>
    <sheet name="Folha5" sheetId="5" r:id="rId5"/>
    <sheet name="Folha6" sheetId="6" r:id="rId6"/>
    <sheet name="Folha7" sheetId="7" r:id="rId7"/>
    <sheet name="Folha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" i="8" l="1" a="1"/>
  <c r="G8" i="8" s="1"/>
  <c r="G3" i="8" a="1"/>
  <c r="G3" i="8" s="1"/>
  <c r="B11" i="7"/>
  <c r="B10" i="7"/>
  <c r="B9" i="7"/>
  <c r="B3" i="6"/>
  <c r="B4" i="6"/>
  <c r="B2" i="6"/>
  <c r="B4" i="5"/>
  <c r="B5" i="4"/>
  <c r="B7" i="3"/>
  <c r="B5" i="2"/>
  <c r="E13" i="1"/>
  <c r="E11" i="1"/>
  <c r="E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<sst xmlns="http://schemas.openxmlformats.org/spreadsheetml/2006/main" count="99" uniqueCount="70">
  <si>
    <t>Nome</t>
  </si>
  <si>
    <t>Sexo</t>
  </si>
  <si>
    <t>Escolaridade</t>
  </si>
  <si>
    <t>Função</t>
  </si>
  <si>
    <t>Tempo de contrato</t>
  </si>
  <si>
    <t>Valor Hora/Aula</t>
  </si>
  <si>
    <t>Ricardo</t>
  </si>
  <si>
    <t>Amaral</t>
  </si>
  <si>
    <t>Janaina</t>
  </si>
  <si>
    <t>Joao</t>
  </si>
  <si>
    <t>Roberta</t>
  </si>
  <si>
    <t>Media dos valores pagos aos docentes</t>
  </si>
  <si>
    <t>Soma dos valores pagos aos docentes pos graduados</t>
  </si>
  <si>
    <t>Quantidade de professores do sexo masculino</t>
  </si>
  <si>
    <t>Andre</t>
  </si>
  <si>
    <t>M</t>
  </si>
  <si>
    <t>F</t>
  </si>
  <si>
    <t>Graduação</t>
  </si>
  <si>
    <t>Médio</t>
  </si>
  <si>
    <t>Pós</t>
  </si>
  <si>
    <t>Docente</t>
  </si>
  <si>
    <t>Valor da parcela do financiamento - PGTO</t>
  </si>
  <si>
    <t>Valor financiado</t>
  </si>
  <si>
    <t>Periodo em meses</t>
  </si>
  <si>
    <t>taxa de juros ao mês</t>
  </si>
  <si>
    <t>Valor da parcela</t>
  </si>
  <si>
    <t>Aplicação mensal</t>
  </si>
  <si>
    <t>Calculo de valor futuro</t>
  </si>
  <si>
    <t>Taxa mensal</t>
  </si>
  <si>
    <t>Valor futuro</t>
  </si>
  <si>
    <t>Valor inicial</t>
  </si>
  <si>
    <t>Financiamento</t>
  </si>
  <si>
    <t>Periodo</t>
  </si>
  <si>
    <t>Parcela</t>
  </si>
  <si>
    <t>Taxa</t>
  </si>
  <si>
    <t>Calculo de depreciação</t>
  </si>
  <si>
    <t>Valor do bem</t>
  </si>
  <si>
    <t>Recuperação com a venda</t>
  </si>
  <si>
    <t>Depreciação no período</t>
  </si>
  <si>
    <t>Temperatura</t>
  </si>
  <si>
    <t>Matricula</t>
  </si>
  <si>
    <t>Rendimento</t>
  </si>
  <si>
    <t>Gilberto</t>
  </si>
  <si>
    <t>Jose</t>
  </si>
  <si>
    <t>Maria</t>
  </si>
  <si>
    <t>Renata</t>
  </si>
  <si>
    <t>Rita</t>
  </si>
  <si>
    <t>Instrutor</t>
  </si>
  <si>
    <t>Professor</t>
  </si>
  <si>
    <t>Acessor</t>
  </si>
  <si>
    <t>Secretario</t>
  </si>
  <si>
    <t>Gerente</t>
  </si>
  <si>
    <t>Cidade</t>
  </si>
  <si>
    <t>País</t>
  </si>
  <si>
    <t>População Milhões</t>
  </si>
  <si>
    <t>Rio de Janeiro</t>
  </si>
  <si>
    <t>São Paulo</t>
  </si>
  <si>
    <t>Curitiba</t>
  </si>
  <si>
    <t>New York</t>
  </si>
  <si>
    <t>Tóquio</t>
  </si>
  <si>
    <t>Buenos Aires</t>
  </si>
  <si>
    <t>EUA</t>
  </si>
  <si>
    <t>Japão</t>
  </si>
  <si>
    <t>Argentina</t>
  </si>
  <si>
    <t>Brasil</t>
  </si>
  <si>
    <t>Linha</t>
  </si>
  <si>
    <t>Coluna</t>
  </si>
  <si>
    <t>Indice</t>
  </si>
  <si>
    <t>População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</si>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</sst>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0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8" fontId="0" fillId="0" borderId="1" xfId="0" applyNumberFormat="1" applyBorder="1"/>
    <xf numFmtId="9" fontId="0" fillId="0" borderId="1" xfId="2" applyFont="1" applyBorder="1"/>
    <xf numFmtId="10" fontId="0" fillId="0" borderId="1" xfId="2" applyNumberFormat="1" applyFont="1" applyBorder="1"/>
    <xf numFmtId="44" fontId="0" fillId="0" borderId="1" xfId="1" applyFont="1" applyBorder="1"/>
    <xf numFmtId="8" fontId="0" fillId="0" borderId="1" xfId="0" applyNumberFormat="1" applyBorder="1" applyAlignment="1">
      <alignment horizontal="center" vertical="center"/>
    </xf>
    <xf numFmtId="8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e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I3" sqref="I3"/>
    </sheetView>
  </sheetViews>
  <sheetFormatPr defaultRowHeight="15" x14ac:dyDescent="0.25"/>
  <cols>
    <col min="1" max="1" width="18" customWidth="1"/>
    <col min="3" max="3" width="12.140625" bestFit="1" customWidth="1"/>
    <col min="4" max="4" width="8.42578125" bestFit="1" customWidth="1"/>
    <col min="5" max="5" width="10" customWidth="1"/>
    <col min="6" max="6" width="11" customWidth="1"/>
    <col min="8" max="8" width="12.140625" bestFit="1" customWidth="1"/>
  </cols>
  <sheetData>
    <row r="1" spans="1:9" s="1" customFormat="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H1" s="4" t="s">
        <v>2</v>
      </c>
      <c r="I1" s="4" t="s">
        <v>1</v>
      </c>
    </row>
    <row r="2" spans="1:9" x14ac:dyDescent="0.25">
      <c r="A2" s="5" t="s">
        <v>14</v>
      </c>
      <c r="B2" s="6" t="s">
        <v>15</v>
      </c>
      <c r="C2" s="6" t="s">
        <v>19</v>
      </c>
      <c r="D2" s="6" t="s">
        <v>20</v>
      </c>
      <c r="E2" s="6">
        <v>14</v>
      </c>
      <c r="F2" s="7">
        <v>14</v>
      </c>
      <c r="H2" s="5"/>
      <c r="I2" s="5"/>
    </row>
    <row r="3" spans="1:9" x14ac:dyDescent="0.25">
      <c r="A3" s="5" t="s">
        <v>6</v>
      </c>
      <c r="B3" s="6" t="s">
        <v>15</v>
      </c>
      <c r="C3" s="6" t="s">
        <v>18</v>
      </c>
      <c r="D3" s="6" t="s">
        <v>20</v>
      </c>
      <c r="E3" s="6">
        <v>3</v>
      </c>
      <c r="F3" s="7">
        <v>7</v>
      </c>
    </row>
    <row r="4" spans="1:9" x14ac:dyDescent="0.25">
      <c r="A4" s="5" t="s">
        <v>7</v>
      </c>
      <c r="B4" s="6" t="s">
        <v>15</v>
      </c>
      <c r="C4" s="6" t="s">
        <v>19</v>
      </c>
      <c r="D4" s="6" t="s">
        <v>20</v>
      </c>
      <c r="E4" s="6">
        <v>10</v>
      </c>
      <c r="F4" s="7">
        <v>15</v>
      </c>
    </row>
    <row r="5" spans="1:9" x14ac:dyDescent="0.25">
      <c r="A5" s="5" t="s">
        <v>8</v>
      </c>
      <c r="B5" s="6" t="s">
        <v>16</v>
      </c>
      <c r="C5" s="6" t="s">
        <v>18</v>
      </c>
      <c r="D5" s="6" t="s">
        <v>20</v>
      </c>
      <c r="E5" s="6">
        <v>17</v>
      </c>
      <c r="F5" s="7">
        <v>9</v>
      </c>
    </row>
    <row r="6" spans="1:9" x14ac:dyDescent="0.25">
      <c r="A6" s="5" t="s">
        <v>9</v>
      </c>
      <c r="B6" s="6" t="s">
        <v>15</v>
      </c>
      <c r="C6" s="6" t="s">
        <v>17</v>
      </c>
      <c r="D6" s="6" t="s">
        <v>20</v>
      </c>
      <c r="E6" s="6">
        <v>12</v>
      </c>
      <c r="F6" s="7">
        <v>13</v>
      </c>
    </row>
    <row r="7" spans="1:9" x14ac:dyDescent="0.25">
      <c r="A7" s="5" t="s">
        <v>10</v>
      </c>
      <c r="B7" s="6" t="s">
        <v>16</v>
      </c>
      <c r="C7" s="6" t="s">
        <v>17</v>
      </c>
      <c r="D7" s="6" t="s">
        <v>20</v>
      </c>
      <c r="E7" s="6">
        <v>3</v>
      </c>
      <c r="F7" s="7">
        <v>14</v>
      </c>
    </row>
    <row r="9" spans="1:9" x14ac:dyDescent="0.25">
      <c r="A9" s="8" t="s">
        <v>11</v>
      </c>
      <c r="B9" s="8"/>
      <c r="C9" s="8"/>
      <c r="D9" s="8"/>
      <c r="E9" s="5">
        <f>DAVERAGE(A1:F7,F1,H1:H2)</f>
        <v>12</v>
      </c>
    </row>
    <row r="11" spans="1:9" x14ac:dyDescent="0.25">
      <c r="A11" s="8" t="s">
        <v>12</v>
      </c>
      <c r="B11" s="8"/>
      <c r="C11" s="8"/>
      <c r="D11" s="8"/>
      <c r="E11" s="5">
        <f>DSUM(A1:F7,F1,H1:H2)</f>
        <v>72</v>
      </c>
    </row>
    <row r="13" spans="1:9" x14ac:dyDescent="0.25">
      <c r="A13" s="11" t="s">
        <v>13</v>
      </c>
      <c r="B13" s="12"/>
      <c r="C13" s="12"/>
      <c r="D13" s="13"/>
      <c r="E13" s="5">
        <f>DCOUNTA(A1:F7,B1,I1:I2)</f>
        <v>6</v>
      </c>
    </row>
  </sheetData>
  <mergeCells count="3">
    <mergeCell ref="A9:D9"/>
    <mergeCell ref="A11:D11"/>
    <mergeCell ref="A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D7269-B38C-4061-BF4B-2A1401C020E0}">
  <dimension ref="A1:B5"/>
  <sheetViews>
    <sheetView workbookViewId="0">
      <selection sqref="A1:B5"/>
    </sheetView>
  </sheetViews>
  <sheetFormatPr defaultRowHeight="15" x14ac:dyDescent="0.25"/>
  <cols>
    <col min="1" max="1" width="21" customWidth="1"/>
    <col min="2" max="2" width="20" customWidth="1"/>
  </cols>
  <sheetData>
    <row r="1" spans="1:2" x14ac:dyDescent="0.25">
      <c r="A1" s="10" t="s">
        <v>21</v>
      </c>
      <c r="B1" s="10"/>
    </row>
    <row r="2" spans="1:2" x14ac:dyDescent="0.25">
      <c r="A2" s="5" t="s">
        <v>22</v>
      </c>
      <c r="B2" s="14">
        <v>8000</v>
      </c>
    </row>
    <row r="3" spans="1:2" x14ac:dyDescent="0.25">
      <c r="A3" s="5" t="s">
        <v>23</v>
      </c>
      <c r="B3" s="5">
        <v>10</v>
      </c>
    </row>
    <row r="4" spans="1:2" x14ac:dyDescent="0.25">
      <c r="A4" s="5" t="s">
        <v>24</v>
      </c>
      <c r="B4" s="15">
        <v>0.02</v>
      </c>
    </row>
    <row r="5" spans="1:2" x14ac:dyDescent="0.25">
      <c r="A5" s="5" t="s">
        <v>25</v>
      </c>
      <c r="B5" s="14">
        <f>-PMT(B4,B3,B2)</f>
        <v>890.61222292253171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3621-6C38-44C3-8889-DBE45F2F17E9}">
  <dimension ref="A1:B7"/>
  <sheetViews>
    <sheetView workbookViewId="0">
      <selection activeCell="B5" sqref="B5"/>
    </sheetView>
  </sheetViews>
  <sheetFormatPr defaultRowHeight="15" x14ac:dyDescent="0.25"/>
  <cols>
    <col min="1" max="1" width="24.7109375" customWidth="1"/>
    <col min="2" max="2" width="15.5703125" customWidth="1"/>
  </cols>
  <sheetData>
    <row r="1" spans="1:2" x14ac:dyDescent="0.25">
      <c r="A1" s="10" t="s">
        <v>27</v>
      </c>
      <c r="B1" s="10"/>
    </row>
    <row r="2" spans="1:2" x14ac:dyDescent="0.25">
      <c r="A2" s="9"/>
      <c r="B2" s="9"/>
    </row>
    <row r="3" spans="1:2" x14ac:dyDescent="0.25">
      <c r="A3" s="5" t="s">
        <v>30</v>
      </c>
      <c r="B3" s="14">
        <v>23000</v>
      </c>
    </row>
    <row r="4" spans="1:2" x14ac:dyDescent="0.25">
      <c r="A4" s="5" t="s">
        <v>26</v>
      </c>
      <c r="B4" s="14"/>
    </row>
    <row r="5" spans="1:2" x14ac:dyDescent="0.25">
      <c r="A5" s="5" t="s">
        <v>23</v>
      </c>
      <c r="B5" s="5">
        <v>12</v>
      </c>
    </row>
    <row r="6" spans="1:2" x14ac:dyDescent="0.25">
      <c r="A6" s="5" t="s">
        <v>28</v>
      </c>
      <c r="B6" s="16">
        <v>1.4999999999999999E-2</v>
      </c>
    </row>
    <row r="7" spans="1:2" x14ac:dyDescent="0.25">
      <c r="A7" s="5" t="s">
        <v>29</v>
      </c>
      <c r="B7" s="14">
        <f>-FV(B6,B5,B4,B3)</f>
        <v>27499.217943615266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97B5-F2CA-40E7-BE2B-58A432F5E19B}">
  <dimension ref="A1:B5"/>
  <sheetViews>
    <sheetView workbookViewId="0">
      <selection activeCell="D29" sqref="D29"/>
    </sheetView>
  </sheetViews>
  <sheetFormatPr defaultRowHeight="15" x14ac:dyDescent="0.25"/>
  <cols>
    <col min="1" max="1" width="24" customWidth="1"/>
    <col min="2" max="2" width="15.5703125" customWidth="1"/>
  </cols>
  <sheetData>
    <row r="1" spans="1:2" x14ac:dyDescent="0.25">
      <c r="A1" s="10" t="s">
        <v>31</v>
      </c>
      <c r="B1" s="10"/>
    </row>
    <row r="2" spans="1:2" x14ac:dyDescent="0.25">
      <c r="A2" s="5" t="s">
        <v>25</v>
      </c>
      <c r="B2" s="14">
        <v>17000</v>
      </c>
    </row>
    <row r="3" spans="1:2" x14ac:dyDescent="0.25">
      <c r="A3" s="5" t="s">
        <v>32</v>
      </c>
      <c r="B3" s="5">
        <v>48</v>
      </c>
    </row>
    <row r="4" spans="1:2" x14ac:dyDescent="0.25">
      <c r="A4" s="5" t="s">
        <v>33</v>
      </c>
      <c r="B4" s="17">
        <v>-680</v>
      </c>
    </row>
    <row r="5" spans="1:2" x14ac:dyDescent="0.25">
      <c r="A5" s="5" t="s">
        <v>34</v>
      </c>
      <c r="B5" s="16">
        <f>RATE(B3,B4,B2)</f>
        <v>3.0576636483893766E-2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C3E5-A2B7-4C19-A58B-9108DE776D67}">
  <dimension ref="A1:B4"/>
  <sheetViews>
    <sheetView workbookViewId="0">
      <selection activeCell="B6" sqref="B6"/>
    </sheetView>
  </sheetViews>
  <sheetFormatPr defaultRowHeight="15" x14ac:dyDescent="0.25"/>
  <cols>
    <col min="1" max="1" width="24.140625" bestFit="1" customWidth="1"/>
    <col min="2" max="2" width="13.28515625" bestFit="1" customWidth="1"/>
  </cols>
  <sheetData>
    <row r="1" spans="1:2" x14ac:dyDescent="0.25">
      <c r="A1" s="10" t="s">
        <v>35</v>
      </c>
      <c r="B1" s="10"/>
    </row>
    <row r="2" spans="1:2" x14ac:dyDescent="0.25">
      <c r="A2" s="5" t="s">
        <v>36</v>
      </c>
      <c r="B2" s="18">
        <v>70000</v>
      </c>
    </row>
    <row r="3" spans="1:2" x14ac:dyDescent="0.25">
      <c r="A3" s="5" t="s">
        <v>37</v>
      </c>
      <c r="B3" s="7">
        <v>47000</v>
      </c>
    </row>
    <row r="4" spans="1:2" x14ac:dyDescent="0.25">
      <c r="A4" s="5" t="s">
        <v>38</v>
      </c>
      <c r="B4" s="19">
        <f>SLN(B2,B3,5)</f>
        <v>4600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99636-5DFB-489A-851D-6C0EFF616CD6}">
  <dimension ref="A1:B4"/>
  <sheetViews>
    <sheetView workbookViewId="0">
      <selection activeCell="D4" sqref="D4"/>
    </sheetView>
  </sheetViews>
  <sheetFormatPr defaultRowHeight="15" x14ac:dyDescent="0.25"/>
  <cols>
    <col min="2" max="2" width="9.85546875" bestFit="1" customWidth="1"/>
  </cols>
  <sheetData>
    <row r="1" spans="1:2" x14ac:dyDescent="0.25">
      <c r="A1" s="10" t="s">
        <v>39</v>
      </c>
      <c r="B1" s="10"/>
    </row>
    <row r="2" spans="1:2" x14ac:dyDescent="0.25">
      <c r="A2" s="5">
        <v>12</v>
      </c>
      <c r="B2" s="5" t="str">
        <f>IF(A2&lt;25,"Agradavel","Calor")</f>
        <v>Agradavel</v>
      </c>
    </row>
    <row r="3" spans="1:2" x14ac:dyDescent="0.25">
      <c r="A3" s="5">
        <v>20</v>
      </c>
      <c r="B3" s="5" t="str">
        <f t="shared" ref="B3:B4" si="0">IF(A3&lt;25,"Agradavel","Calor")</f>
        <v>Agradavel</v>
      </c>
    </row>
    <row r="4" spans="1:2" x14ac:dyDescent="0.25">
      <c r="A4" s="5">
        <v>40</v>
      </c>
      <c r="B4" s="5" t="str">
        <f t="shared" si="0"/>
        <v>Calor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FB696-67FE-4DCD-92E5-3D5D87A5D5B9}">
  <dimension ref="A1:D11"/>
  <sheetViews>
    <sheetView workbookViewId="0">
      <selection activeCell="B8" sqref="B8"/>
    </sheetView>
  </sheetViews>
  <sheetFormatPr defaultRowHeight="15" x14ac:dyDescent="0.25"/>
  <cols>
    <col min="1" max="1" width="12" style="2" bestFit="1" customWidth="1"/>
    <col min="2" max="2" width="12.140625" style="2" bestFit="1" customWidth="1"/>
    <col min="3" max="3" width="10" style="2" bestFit="1" customWidth="1"/>
    <col min="4" max="4" width="12.140625" style="2" bestFit="1" customWidth="1"/>
  </cols>
  <sheetData>
    <row r="1" spans="1:4" x14ac:dyDescent="0.25">
      <c r="A1" s="6" t="s">
        <v>40</v>
      </c>
      <c r="B1" s="6" t="s">
        <v>0</v>
      </c>
      <c r="C1" s="6" t="s">
        <v>3</v>
      </c>
      <c r="D1" s="6" t="s">
        <v>41</v>
      </c>
    </row>
    <row r="2" spans="1:4" x14ac:dyDescent="0.25">
      <c r="A2" s="6">
        <v>35</v>
      </c>
      <c r="B2" s="6" t="s">
        <v>42</v>
      </c>
      <c r="C2" s="6" t="s">
        <v>47</v>
      </c>
      <c r="D2" s="7">
        <v>1800</v>
      </c>
    </row>
    <row r="3" spans="1:4" x14ac:dyDescent="0.25">
      <c r="A3" s="6">
        <v>96</v>
      </c>
      <c r="B3" s="6" t="s">
        <v>43</v>
      </c>
      <c r="C3" s="6" t="s">
        <v>48</v>
      </c>
      <c r="D3" s="7">
        <v>2200</v>
      </c>
    </row>
    <row r="4" spans="1:4" x14ac:dyDescent="0.25">
      <c r="A4" s="6">
        <v>115</v>
      </c>
      <c r="B4" s="6" t="s">
        <v>44</v>
      </c>
      <c r="C4" s="6" t="s">
        <v>49</v>
      </c>
      <c r="D4" s="7">
        <v>3500</v>
      </c>
    </row>
    <row r="5" spans="1:4" x14ac:dyDescent="0.25">
      <c r="A5" s="6">
        <v>254</v>
      </c>
      <c r="B5" s="6" t="s">
        <v>45</v>
      </c>
      <c r="C5" s="6" t="s">
        <v>50</v>
      </c>
      <c r="D5" s="7">
        <v>700</v>
      </c>
    </row>
    <row r="6" spans="1:4" x14ac:dyDescent="0.25">
      <c r="A6" s="6">
        <v>312</v>
      </c>
      <c r="B6" s="6" t="s">
        <v>46</v>
      </c>
      <c r="C6" s="6" t="s">
        <v>51</v>
      </c>
      <c r="D6" s="7">
        <v>2500</v>
      </c>
    </row>
    <row r="8" spans="1:4" x14ac:dyDescent="0.25">
      <c r="A8" s="20" t="s">
        <v>40</v>
      </c>
      <c r="B8" s="2">
        <v>115</v>
      </c>
    </row>
    <row r="9" spans="1:4" x14ac:dyDescent="0.25">
      <c r="A9" s="20" t="s">
        <v>0</v>
      </c>
      <c r="B9" s="2" t="str">
        <f>VLOOKUP(B8,A1:D6,2,0)</f>
        <v>Maria</v>
      </c>
    </row>
    <row r="10" spans="1:4" x14ac:dyDescent="0.25">
      <c r="A10" s="20" t="s">
        <v>3</v>
      </c>
      <c r="B10" s="2" t="str">
        <f>VLOOKUP(B8,A2:D6,3,0)</f>
        <v>Acessor</v>
      </c>
    </row>
    <row r="11" spans="1:4" x14ac:dyDescent="0.25">
      <c r="A11" s="20" t="s">
        <v>41</v>
      </c>
      <c r="B11" s="3">
        <f>VLOOKUP(B8,A2:D6,4,0)</f>
        <v>3500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69386-245A-410A-BDE4-7D01DDC949F4}">
  <dimension ref="A2:H10"/>
  <sheetViews>
    <sheetView tabSelected="1" workbookViewId="0">
      <selection activeCell="G17" sqref="G17"/>
    </sheetView>
  </sheetViews>
  <sheetFormatPr defaultRowHeight="15" x14ac:dyDescent="0.25"/>
  <cols>
    <col min="1" max="1" width="13.5703125" bestFit="1" customWidth="1"/>
    <col min="2" max="2" width="9.7109375" bestFit="1" customWidth="1"/>
    <col min="3" max="3" width="18" bestFit="1" customWidth="1"/>
    <col min="7" max="7" width="13.5703125" bestFit="1" customWidth="1"/>
  </cols>
  <sheetData>
    <row r="2" spans="1:8" x14ac:dyDescent="0.25">
      <c r="A2" s="6" t="s">
        <v>52</v>
      </c>
      <c r="B2" s="6" t="s">
        <v>53</v>
      </c>
      <c r="C2" s="6" t="s">
        <v>54</v>
      </c>
      <c r="E2" s="22" t="s">
        <v>65</v>
      </c>
      <c r="F2" s="22" t="s">
        <v>66</v>
      </c>
      <c r="G2" s="22" t="s">
        <v>67</v>
      </c>
    </row>
    <row r="3" spans="1:8" x14ac:dyDescent="0.25">
      <c r="A3" s="6" t="s">
        <v>55</v>
      </c>
      <c r="B3" s="6" t="s">
        <v>64</v>
      </c>
      <c r="C3" s="6">
        <v>6.3</v>
      </c>
      <c r="E3" s="5">
        <v>1</v>
      </c>
      <c r="F3" s="5">
        <v>3</v>
      </c>
      <c r="G3" s="5" cm="1">
        <f t="array" ref="G3">INDEX(A3:C5,E3,F3)</f>
        <v>6.3</v>
      </c>
    </row>
    <row r="4" spans="1:8" x14ac:dyDescent="0.25">
      <c r="A4" s="6" t="s">
        <v>56</v>
      </c>
      <c r="B4" s="6" t="s">
        <v>64</v>
      </c>
      <c r="C4" s="6">
        <v>12.11</v>
      </c>
    </row>
    <row r="5" spans="1:8" x14ac:dyDescent="0.25">
      <c r="A5" s="6" t="s">
        <v>57</v>
      </c>
      <c r="B5" s="6" t="s">
        <v>64</v>
      </c>
      <c r="C5" s="6">
        <v>1.7</v>
      </c>
    </row>
    <row r="6" spans="1:8" x14ac:dyDescent="0.25">
      <c r="A6" s="21"/>
      <c r="B6" s="21"/>
      <c r="C6" s="21"/>
    </row>
    <row r="7" spans="1:8" x14ac:dyDescent="0.25">
      <c r="A7" s="6" t="s">
        <v>52</v>
      </c>
      <c r="B7" s="6" t="s">
        <v>53</v>
      </c>
      <c r="C7" s="6" t="s">
        <v>54</v>
      </c>
      <c r="E7" s="22" t="s">
        <v>65</v>
      </c>
      <c r="F7" s="22" t="s">
        <v>66</v>
      </c>
      <c r="G7" s="22" t="s">
        <v>68</v>
      </c>
      <c r="H7" s="22" t="s">
        <v>69</v>
      </c>
    </row>
    <row r="8" spans="1:8" x14ac:dyDescent="0.25">
      <c r="A8" s="6" t="s">
        <v>58</v>
      </c>
      <c r="B8" s="6" t="s">
        <v>61</v>
      </c>
      <c r="C8" s="6">
        <v>8.6</v>
      </c>
      <c r="E8" s="5">
        <v>1</v>
      </c>
      <c r="F8" s="5">
        <v>3</v>
      </c>
      <c r="G8" s="5" cm="1">
        <f t="array" ref="G8">INDEX((A3:C5,A8:C10),E8,F8,H8)</f>
        <v>8.6</v>
      </c>
      <c r="H8" s="5">
        <v>2</v>
      </c>
    </row>
    <row r="9" spans="1:8" x14ac:dyDescent="0.25">
      <c r="A9" s="6" t="s">
        <v>59</v>
      </c>
      <c r="B9" s="6" t="s">
        <v>62</v>
      </c>
      <c r="C9" s="6">
        <v>9.3000000000000007</v>
      </c>
    </row>
    <row r="10" spans="1:8" x14ac:dyDescent="0.25">
      <c r="A10" s="6" t="s">
        <v>60</v>
      </c>
      <c r="B10" s="6" t="s">
        <v>63</v>
      </c>
      <c r="C10" s="6">
        <v>2.8</v>
      </c>
    </row>
  </sheetData>
  <mergeCells count="1"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Folha1</vt:lpstr>
      <vt:lpstr>Folha2</vt:lpstr>
      <vt:lpstr>Folha3</vt:lpstr>
      <vt:lpstr>Folha4</vt:lpstr>
      <vt:lpstr>Folha5</vt:lpstr>
      <vt:lpstr>Folha6</vt:lpstr>
      <vt:lpstr>Folha7</vt:lpstr>
      <vt:lpstr>Folha8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2026-02-20T23:53:54Z</dcterms:modified>
</cp:coreProperties>
</file>