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Advanced\"/>
    </mc:Choice>
  </mc:AlternateContent>
  <xr:revisionPtr revIDLastSave="0" documentId="13_ncr:1_{6084D0F9-4326-493C-ACA2-29051F2DE7F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olha1" sheetId="1" r:id="rId1"/>
    <sheet name="Detalh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  <c r="A3" i="1"/>
  <c r="A4" i="1"/>
  <c r="A5" i="1"/>
  <c r="A7" i="1"/>
  <c r="A8" i="1"/>
  <c r="A9" i="1"/>
  <c r="A10" i="1" s="1"/>
  <c r="A1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A13" i="1"/>
  <c r="A14" i="1" s="1"/>
  <c r="A15" i="1" s="1"/>
</calcChain>
</file>

<file path=xl/sharedStrings.xml><?xml version="1.0" encoding="utf-8"?>
<sst xmlns="http://schemas.openxmlformats.org/spreadsheetml/2006/main" count="46" uniqueCount="27">
  <si>
    <t>Cidade</t>
  </si>
  <si>
    <t>Tipo de Venda</t>
  </si>
  <si>
    <t>Obra</t>
  </si>
  <si>
    <t>Preço Unitario</t>
  </si>
  <si>
    <t>Quantidade</t>
  </si>
  <si>
    <t>Valor Total</t>
  </si>
  <si>
    <t>São Paulo</t>
  </si>
  <si>
    <t>Rio de Janeiro</t>
  </si>
  <si>
    <t>Curitiba</t>
  </si>
  <si>
    <t>À Vista</t>
  </si>
  <si>
    <t>Windows</t>
  </si>
  <si>
    <t>Word</t>
  </si>
  <si>
    <t>Excel</t>
  </si>
  <si>
    <t>Access</t>
  </si>
  <si>
    <t>PowerPoint</t>
  </si>
  <si>
    <t>Internet</t>
  </si>
  <si>
    <t>Obras</t>
  </si>
  <si>
    <t>Categoria</t>
  </si>
  <si>
    <t>Autores</t>
  </si>
  <si>
    <t>R$</t>
  </si>
  <si>
    <t>Sistema Operacional</t>
  </si>
  <si>
    <t>Aplicativo</t>
  </si>
  <si>
    <t>Gilberto</t>
  </si>
  <si>
    <t>Marco Antonio</t>
  </si>
  <si>
    <t>João</t>
  </si>
  <si>
    <t>José</t>
  </si>
  <si>
    <t>Andre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</si>
</sst>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H10" sqref="H10"/>
    </sheetView>
  </sheetViews>
  <sheetFormatPr defaultRowHeight="15" x14ac:dyDescent="0.25"/>
  <cols>
    <col min="1" max="1" width="13.5703125" bestFit="1" customWidth="1"/>
    <col min="3" max="3" width="11.42578125" bestFit="1" customWidth="1"/>
    <col min="4" max="4" width="9.5703125" bestFit="1" customWidth="1"/>
    <col min="5" max="5" width="11.42578125" bestFit="1" customWidth="1"/>
    <col min="6" max="6" width="12.7109375" customWidth="1"/>
  </cols>
  <sheetData>
    <row r="1" spans="1:6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4" t="s">
        <v>9</v>
      </c>
      <c r="C2" s="4" t="s">
        <v>10</v>
      </c>
      <c r="D2" s="5">
        <f>VLOOKUP(C2,Detalhes!$A$1:$D$7,4,0)</f>
        <v>55</v>
      </c>
      <c r="E2" s="4">
        <v>20</v>
      </c>
      <c r="F2" s="6">
        <f>D2*E2</f>
        <v>1100</v>
      </c>
    </row>
    <row r="3" spans="1:6" x14ac:dyDescent="0.25">
      <c r="A3" s="4" t="str">
        <f t="shared" ref="A3:A5" si="0">A2</f>
        <v>São Paulo</v>
      </c>
      <c r="B3" s="4" t="str">
        <f t="shared" ref="B3:B12" si="1">B2</f>
        <v>À Vista</v>
      </c>
      <c r="C3" s="4" t="s">
        <v>11</v>
      </c>
      <c r="D3" s="5">
        <f>VLOOKUP(C3,Detalhes!$A$1:$D$7,4,0)</f>
        <v>47</v>
      </c>
      <c r="E3" s="4">
        <v>50</v>
      </c>
      <c r="F3" s="6">
        <f t="shared" ref="F3:F15" si="2">D3*E3</f>
        <v>2350</v>
      </c>
    </row>
    <row r="4" spans="1:6" x14ac:dyDescent="0.25">
      <c r="A4" s="4" t="str">
        <f t="shared" si="0"/>
        <v>São Paulo</v>
      </c>
      <c r="B4" s="4" t="str">
        <f t="shared" si="1"/>
        <v>À Vista</v>
      </c>
      <c r="C4" s="4" t="s">
        <v>12</v>
      </c>
      <c r="D4" s="5">
        <f>VLOOKUP(C4,Detalhes!$A$1:$D$7,4,0)</f>
        <v>49</v>
      </c>
      <c r="E4" s="4">
        <v>30</v>
      </c>
      <c r="F4" s="6">
        <f t="shared" si="2"/>
        <v>1470</v>
      </c>
    </row>
    <row r="5" spans="1:6" x14ac:dyDescent="0.25">
      <c r="A5" s="4" t="str">
        <f t="shared" si="0"/>
        <v>São Paulo</v>
      </c>
      <c r="B5" s="4" t="str">
        <f t="shared" si="1"/>
        <v>À Vista</v>
      </c>
      <c r="C5" s="4" t="s">
        <v>13</v>
      </c>
      <c r="D5" s="5">
        <f>VLOOKUP(C5,Detalhes!$A$1:$D$7,4,0)</f>
        <v>70</v>
      </c>
      <c r="E5" s="4">
        <v>60</v>
      </c>
      <c r="F5" s="6">
        <f t="shared" si="2"/>
        <v>4200</v>
      </c>
    </row>
    <row r="6" spans="1:6" x14ac:dyDescent="0.25">
      <c r="A6" s="4" t="s">
        <v>7</v>
      </c>
      <c r="B6" s="4" t="str">
        <f t="shared" si="1"/>
        <v>À Vista</v>
      </c>
      <c r="C6" s="4" t="s">
        <v>10</v>
      </c>
      <c r="D6" s="5">
        <f>VLOOKUP(C6,Detalhes!$A$1:$D$7,4,0)</f>
        <v>55</v>
      </c>
      <c r="E6" s="4">
        <v>45</v>
      </c>
      <c r="F6" s="6">
        <f t="shared" si="2"/>
        <v>2475</v>
      </c>
    </row>
    <row r="7" spans="1:6" x14ac:dyDescent="0.25">
      <c r="A7" s="4" t="str">
        <f t="shared" ref="A7:A11" si="3">A6</f>
        <v>Rio de Janeiro</v>
      </c>
      <c r="B7" s="4" t="str">
        <f t="shared" si="1"/>
        <v>À Vista</v>
      </c>
      <c r="C7" s="4" t="s">
        <v>14</v>
      </c>
      <c r="D7" s="5">
        <f>VLOOKUP(C7,Detalhes!$A$1:$D$7,4,0)</f>
        <v>45</v>
      </c>
      <c r="E7" s="4">
        <v>33</v>
      </c>
      <c r="F7" s="6">
        <f t="shared" si="2"/>
        <v>1485</v>
      </c>
    </row>
    <row r="8" spans="1:6" x14ac:dyDescent="0.25">
      <c r="A8" s="4" t="str">
        <f t="shared" si="3"/>
        <v>Rio de Janeiro</v>
      </c>
      <c r="B8" s="4" t="str">
        <f t="shared" si="1"/>
        <v>À Vista</v>
      </c>
      <c r="C8" s="4" t="s">
        <v>15</v>
      </c>
      <c r="D8" s="5">
        <f>VLOOKUP(C8,Detalhes!$A$1:$D$7,4,0)</f>
        <v>57</v>
      </c>
      <c r="E8" s="4">
        <v>29</v>
      </c>
      <c r="F8" s="6">
        <f t="shared" si="2"/>
        <v>1653</v>
      </c>
    </row>
    <row r="9" spans="1:6" x14ac:dyDescent="0.25">
      <c r="A9" s="4" t="str">
        <f t="shared" si="3"/>
        <v>Rio de Janeiro</v>
      </c>
      <c r="B9" s="4" t="str">
        <f t="shared" si="1"/>
        <v>À Vista</v>
      </c>
      <c r="C9" s="4" t="s">
        <v>10</v>
      </c>
      <c r="D9" s="5">
        <f>VLOOKUP(C9,Detalhes!$A$1:$D$7,4,0)</f>
        <v>55</v>
      </c>
      <c r="E9" s="4">
        <v>46</v>
      </c>
      <c r="F9" s="6">
        <f t="shared" si="2"/>
        <v>2530</v>
      </c>
    </row>
    <row r="10" spans="1:6" x14ac:dyDescent="0.25">
      <c r="A10" s="4" t="str">
        <f t="shared" si="3"/>
        <v>Rio de Janeiro</v>
      </c>
      <c r="B10" s="4" t="str">
        <f t="shared" si="1"/>
        <v>À Vista</v>
      </c>
      <c r="C10" s="4" t="s">
        <v>11</v>
      </c>
      <c r="D10" s="5">
        <f>VLOOKUP(C10,Detalhes!$A$1:$D$7,4,0)</f>
        <v>47</v>
      </c>
      <c r="E10" s="4">
        <v>58</v>
      </c>
      <c r="F10" s="6">
        <f t="shared" si="2"/>
        <v>2726</v>
      </c>
    </row>
    <row r="11" spans="1:6" x14ac:dyDescent="0.25">
      <c r="A11" s="4" t="str">
        <f t="shared" si="3"/>
        <v>Rio de Janeiro</v>
      </c>
      <c r="B11" s="4" t="str">
        <f t="shared" si="1"/>
        <v>À Vista</v>
      </c>
      <c r="C11" s="4" t="s">
        <v>13</v>
      </c>
      <c r="D11" s="5">
        <f>VLOOKUP(C11,Detalhes!$A$1:$D$7,4,0)</f>
        <v>70</v>
      </c>
      <c r="E11" s="4">
        <v>72</v>
      </c>
      <c r="F11" s="6">
        <f t="shared" si="2"/>
        <v>5040</v>
      </c>
    </row>
    <row r="12" spans="1:6" x14ac:dyDescent="0.25">
      <c r="A12" s="4" t="s">
        <v>8</v>
      </c>
      <c r="B12" s="4" t="str">
        <f t="shared" si="1"/>
        <v>À Vista</v>
      </c>
      <c r="C12" s="4" t="s">
        <v>10</v>
      </c>
      <c r="D12" s="5">
        <f>VLOOKUP(C12,Detalhes!$A$1:$D$7,4,0)</f>
        <v>55</v>
      </c>
      <c r="E12" s="4">
        <v>59</v>
      </c>
      <c r="F12" s="6">
        <f t="shared" si="2"/>
        <v>3245</v>
      </c>
    </row>
    <row r="13" spans="1:6" x14ac:dyDescent="0.25">
      <c r="A13" s="4" t="str">
        <f t="shared" ref="A13:B15" si="4">A12</f>
        <v>Curitiba</v>
      </c>
      <c r="B13" s="4" t="str">
        <f t="shared" si="4"/>
        <v>À Vista</v>
      </c>
      <c r="C13" s="4" t="s">
        <v>11</v>
      </c>
      <c r="D13" s="5">
        <f>VLOOKUP(C13,Detalhes!$A$1:$D$7,4,0)</f>
        <v>47</v>
      </c>
      <c r="E13" s="4">
        <v>71</v>
      </c>
      <c r="F13" s="6">
        <f t="shared" si="2"/>
        <v>3337</v>
      </c>
    </row>
    <row r="14" spans="1:6" x14ac:dyDescent="0.25">
      <c r="A14" s="4" t="str">
        <f t="shared" si="4"/>
        <v>Curitiba</v>
      </c>
      <c r="B14" s="4" t="str">
        <f t="shared" si="4"/>
        <v>À Vista</v>
      </c>
      <c r="C14" s="4" t="s">
        <v>12</v>
      </c>
      <c r="D14" s="5">
        <f>VLOOKUP(C14,Detalhes!$A$1:$D$7,4,0)</f>
        <v>49</v>
      </c>
      <c r="E14" s="4">
        <v>38</v>
      </c>
      <c r="F14" s="6">
        <f t="shared" si="2"/>
        <v>1862</v>
      </c>
    </row>
    <row r="15" spans="1:6" x14ac:dyDescent="0.25">
      <c r="A15" s="4" t="str">
        <f t="shared" si="4"/>
        <v>Curitiba</v>
      </c>
      <c r="B15" s="4" t="str">
        <f t="shared" si="4"/>
        <v>À Vista</v>
      </c>
      <c r="C15" s="4" t="s">
        <v>15</v>
      </c>
      <c r="D15" s="5">
        <f>VLOOKUP(C15,Detalhes!$A$1:$D$7,4,0)</f>
        <v>57</v>
      </c>
      <c r="E15" s="4">
        <v>18</v>
      </c>
      <c r="F15" s="6">
        <f t="shared" si="2"/>
        <v>1026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849C-2ABA-4D93-BE7C-D6E4E713B88F}">
  <dimension ref="A1:D7"/>
  <sheetViews>
    <sheetView workbookViewId="0">
      <selection activeCell="D2" sqref="D2"/>
    </sheetView>
  </sheetViews>
  <sheetFormatPr defaultRowHeight="15" x14ac:dyDescent="0.25"/>
  <cols>
    <col min="1" max="1" width="12.7109375" customWidth="1"/>
    <col min="2" max="2" width="19.42578125" bestFit="1" customWidth="1"/>
    <col min="3" max="3" width="14.140625" bestFit="1" customWidth="1"/>
  </cols>
  <sheetData>
    <row r="1" spans="1:4" x14ac:dyDescent="0.25">
      <c r="A1" s="3" t="s">
        <v>16</v>
      </c>
      <c r="B1" s="3" t="s">
        <v>17</v>
      </c>
      <c r="C1" s="3" t="s">
        <v>18</v>
      </c>
      <c r="D1" s="3" t="s">
        <v>19</v>
      </c>
    </row>
    <row r="2" spans="1:4" x14ac:dyDescent="0.25">
      <c r="A2" t="s">
        <v>10</v>
      </c>
      <c r="B2" t="s">
        <v>20</v>
      </c>
      <c r="C2" t="s">
        <v>22</v>
      </c>
      <c r="D2">
        <v>55</v>
      </c>
    </row>
    <row r="3" spans="1:4" x14ac:dyDescent="0.25">
      <c r="A3" t="s">
        <v>11</v>
      </c>
      <c r="B3" t="s">
        <v>21</v>
      </c>
      <c r="C3" t="s">
        <v>23</v>
      </c>
      <c r="D3">
        <v>47</v>
      </c>
    </row>
    <row r="4" spans="1:4" x14ac:dyDescent="0.25">
      <c r="A4" t="s">
        <v>12</v>
      </c>
      <c r="B4" t="s">
        <v>21</v>
      </c>
      <c r="C4" t="s">
        <v>22</v>
      </c>
      <c r="D4">
        <v>49</v>
      </c>
    </row>
    <row r="5" spans="1:4" x14ac:dyDescent="0.25">
      <c r="A5" t="s">
        <v>13</v>
      </c>
      <c r="B5" t="s">
        <v>21</v>
      </c>
      <c r="C5" t="s">
        <v>26</v>
      </c>
      <c r="D5">
        <v>70</v>
      </c>
    </row>
    <row r="6" spans="1:4" x14ac:dyDescent="0.25">
      <c r="A6" t="s">
        <v>14</v>
      </c>
      <c r="B6" t="s">
        <v>21</v>
      </c>
      <c r="C6" t="s">
        <v>24</v>
      </c>
      <c r="D6">
        <v>45</v>
      </c>
    </row>
    <row r="7" spans="1:4" x14ac:dyDescent="0.25">
      <c r="A7" t="s">
        <v>15</v>
      </c>
      <c r="B7" t="s">
        <v>21</v>
      </c>
      <c r="C7" t="s">
        <v>25</v>
      </c>
      <c r="D7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Detalhes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2026-02-21T16:50:24Z</dcterms:modified>
</cp:coreProperties>
</file>