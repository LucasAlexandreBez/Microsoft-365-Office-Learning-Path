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Capitulo5\"/>
    </mc:Choice>
  </mc:AlternateContent>
  <xr:revisionPtr revIDLastSave="0" documentId="13_ncr:1_{F86BB374-F6E5-43E0-B61A-7A460EDFD02C}" xr6:coauthVersionLast="47" xr6:coauthVersionMax="47" xr10:uidLastSave="{00000000-0000-0000-0000-000000000000}"/>
  <bookViews>
    <workbookView xWindow="-15" yWindow="-15" windowWidth="10800" windowHeight="12930" xr2:uid="{00000000-000D-0000-FFFF-FFFF00000000}"/>
  </bookViews>
  <sheets>
    <sheet name="Comissõ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E7" i="1"/>
  <c r="E8" i="1"/>
  <c r="E9" i="1"/>
  <c r="E10" i="1"/>
  <c r="E11" i="1"/>
  <c r="E6" i="1"/>
  <c r="D7" i="1"/>
  <c r="D8" i="1"/>
  <c r="D9" i="1"/>
  <c r="D10" i="1"/>
  <c r="D11" i="1"/>
  <c r="D6" i="1"/>
  <c r="C7" i="1"/>
  <c r="C8" i="1"/>
  <c r="C9" i="1"/>
  <c r="C10" i="1"/>
  <c r="C11" i="1"/>
  <c r="C6" i="1"/>
  <c r="B7" i="1"/>
  <c r="B8" i="1"/>
  <c r="B9" i="1"/>
  <c r="B10" i="1"/>
  <c r="B11" i="1"/>
  <c r="B6" i="1"/>
  <c r="A6" i="1"/>
  <c r="A7" i="1"/>
  <c r="A8" i="1"/>
  <c r="A9" i="1"/>
  <c r="A10" i="1"/>
  <c r="A11" i="1"/>
</calcChain>
</file>

<file path=xl/sharedStrings.xml><?xml version="1.0" encoding="utf-8"?>
<sst xmlns="http://schemas.openxmlformats.org/spreadsheetml/2006/main" count="8" uniqueCount="7">
  <si>
    <t>Direitos autorais</t>
  </si>
  <si>
    <t>Comissão</t>
  </si>
  <si>
    <t>Titulos</t>
  </si>
  <si>
    <t>Valor de capa</t>
  </si>
  <si>
    <t>Qtde vendida</t>
  </si>
  <si>
    <t>Valor apurado</t>
  </si>
  <si>
    <t>Autores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</si>
</sst>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Desktop\Repositorys\Microsoft-365-Office-Learning-Path\Excel\Advanced\Capitulo5\AtividadeDaEditora.xlsx" TargetMode="External"/><Relationship Id="rId1" Type="http://schemas.openxmlformats.org/officeDocument/2006/relationships/externalLinkPath" Target="AtividadeDaEdito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ividades da editora"/>
      <sheetName val="Detalhes"/>
    </sheetNames>
    <sheetDataSet>
      <sheetData sheetId="0">
        <row r="2">
          <cell r="C2" t="str">
            <v>Windows</v>
          </cell>
          <cell r="E2">
            <v>20</v>
          </cell>
        </row>
        <row r="3">
          <cell r="C3" t="str">
            <v>Word</v>
          </cell>
          <cell r="E3">
            <v>50</v>
          </cell>
        </row>
        <row r="4">
          <cell r="C4" t="str">
            <v>Excel</v>
          </cell>
          <cell r="E4">
            <v>30</v>
          </cell>
        </row>
        <row r="5">
          <cell r="C5" t="str">
            <v>Access</v>
          </cell>
          <cell r="E5">
            <v>60</v>
          </cell>
        </row>
        <row r="6">
          <cell r="C6" t="str">
            <v>Windows</v>
          </cell>
          <cell r="E6">
            <v>45</v>
          </cell>
        </row>
        <row r="7">
          <cell r="C7" t="str">
            <v>PowerPoint</v>
          </cell>
          <cell r="E7">
            <v>33</v>
          </cell>
        </row>
        <row r="8">
          <cell r="C8" t="str">
            <v>Internet</v>
          </cell>
          <cell r="E8">
            <v>29</v>
          </cell>
        </row>
        <row r="9">
          <cell r="C9" t="str">
            <v>Windows</v>
          </cell>
          <cell r="E9">
            <v>46</v>
          </cell>
        </row>
        <row r="10">
          <cell r="C10" t="str">
            <v>Word</v>
          </cell>
          <cell r="E10">
            <v>58</v>
          </cell>
        </row>
        <row r="11">
          <cell r="C11" t="str">
            <v>Access</v>
          </cell>
          <cell r="E11">
            <v>72</v>
          </cell>
        </row>
        <row r="12">
          <cell r="C12" t="str">
            <v>Windows</v>
          </cell>
          <cell r="E12">
            <v>59</v>
          </cell>
        </row>
        <row r="13">
          <cell r="C13" t="str">
            <v>Word</v>
          </cell>
          <cell r="E13">
            <v>71</v>
          </cell>
        </row>
        <row r="14">
          <cell r="C14" t="str">
            <v>Excel</v>
          </cell>
          <cell r="E14">
            <v>38</v>
          </cell>
        </row>
        <row r="15">
          <cell r="C15" t="str">
            <v>Internet</v>
          </cell>
          <cell r="E15">
            <v>18</v>
          </cell>
        </row>
      </sheetData>
      <sheetData sheetId="1">
        <row r="2">
          <cell r="A2" t="str">
            <v>Windows</v>
          </cell>
          <cell r="B2" t="str">
            <v>Sistema Operacional</v>
          </cell>
          <cell r="C2" t="str">
            <v>Gilberto</v>
          </cell>
          <cell r="D2">
            <v>55</v>
          </cell>
        </row>
        <row r="3">
          <cell r="A3" t="str">
            <v>Word</v>
          </cell>
          <cell r="B3" t="str">
            <v>Aplicativo</v>
          </cell>
          <cell r="C3" t="str">
            <v>Marco Antonio</v>
          </cell>
          <cell r="D3">
            <v>47</v>
          </cell>
        </row>
        <row r="4">
          <cell r="A4" t="str">
            <v>Excel</v>
          </cell>
          <cell r="B4" t="str">
            <v>Aplicativo</v>
          </cell>
          <cell r="C4" t="str">
            <v>Gilberto</v>
          </cell>
          <cell r="D4">
            <v>49</v>
          </cell>
        </row>
        <row r="5">
          <cell r="A5" t="str">
            <v>Access</v>
          </cell>
          <cell r="B5" t="str">
            <v>Aplicativo</v>
          </cell>
          <cell r="C5" t="str">
            <v>Andre</v>
          </cell>
          <cell r="D5">
            <v>70</v>
          </cell>
        </row>
        <row r="6">
          <cell r="A6" t="str">
            <v>PowerPoint</v>
          </cell>
          <cell r="B6" t="str">
            <v>Aplicativo</v>
          </cell>
          <cell r="C6" t="str">
            <v>João</v>
          </cell>
          <cell r="D6">
            <v>45</v>
          </cell>
        </row>
        <row r="7">
          <cell r="A7" t="str">
            <v>Internet</v>
          </cell>
          <cell r="B7" t="str">
            <v>Aplicativo</v>
          </cell>
          <cell r="C7" t="str">
            <v>José</v>
          </cell>
          <cell r="D7">
            <v>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6" sqref="G6"/>
    </sheetView>
  </sheetViews>
  <sheetFormatPr defaultRowHeight="15" x14ac:dyDescent="0.25"/>
  <cols>
    <col min="1" max="1" width="11.42578125" bestFit="1" customWidth="1"/>
    <col min="2" max="2" width="12.85546875" bestFit="1" customWidth="1"/>
    <col min="3" max="3" width="13.140625" bestFit="1" customWidth="1"/>
    <col min="4" max="4" width="13.5703125" bestFit="1" customWidth="1"/>
    <col min="5" max="5" width="15.7109375" bestFit="1" customWidth="1"/>
    <col min="6" max="6" width="17.140625" customWidth="1"/>
  </cols>
  <sheetData>
    <row r="1" spans="1:7" x14ac:dyDescent="0.25">
      <c r="A1" s="4" t="s">
        <v>0</v>
      </c>
      <c r="B1" s="4"/>
      <c r="C1" s="4"/>
      <c r="D1" s="4"/>
      <c r="E1" s="4"/>
      <c r="F1" s="4"/>
    </row>
    <row r="3" spans="1:7" x14ac:dyDescent="0.25">
      <c r="A3" s="1" t="s">
        <v>1</v>
      </c>
      <c r="B3" s="2">
        <v>0.1</v>
      </c>
    </row>
    <row r="5" spans="1: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0</v>
      </c>
      <c r="F5" s="3" t="s">
        <v>6</v>
      </c>
    </row>
    <row r="6" spans="1:7" x14ac:dyDescent="0.25">
      <c r="A6" s="5" t="str">
        <f>[1]Detalhes!A2</f>
        <v>Windows</v>
      </c>
      <c r="B6" s="6">
        <f>VLOOKUP(A6,[1]Detalhes!$A$2:$D$7,4,0)</f>
        <v>55</v>
      </c>
      <c r="C6" s="5">
        <f>SUMIF('[1]Atividades da editora'!$C$2:$C$15,A6,'[1]Atividades da editora'!$E$2:$E$15)</f>
        <v>170</v>
      </c>
      <c r="D6" s="7">
        <f>B6*C6</f>
        <v>9350</v>
      </c>
      <c r="E6" s="7">
        <f>D6*$B$3</f>
        <v>935</v>
      </c>
      <c r="F6" s="5" t="str">
        <f>VLOOKUP(A6,[1]Detalhes!$A$2:$D$7,3,0)</f>
        <v>Gilberto</v>
      </c>
      <c r="G6" s="8"/>
    </row>
    <row r="7" spans="1:7" x14ac:dyDescent="0.25">
      <c r="A7" s="5" t="str">
        <f>[1]Detalhes!A3</f>
        <v>Word</v>
      </c>
      <c r="B7" s="6">
        <f>VLOOKUP(A7,[1]Detalhes!$A$2:$D$7,4,0)</f>
        <v>47</v>
      </c>
      <c r="C7" s="5">
        <f>SUMIF('[1]Atividades da editora'!$C$2:$C$15,A7,'[1]Atividades da editora'!$E$2:$E$15)</f>
        <v>179</v>
      </c>
      <c r="D7" s="7">
        <f t="shared" ref="D7:D11" si="0">B7*C7</f>
        <v>8413</v>
      </c>
      <c r="E7" s="7">
        <f t="shared" ref="E7:E11" si="1">D7*$B$3</f>
        <v>841.30000000000007</v>
      </c>
      <c r="F7" s="5"/>
    </row>
    <row r="8" spans="1:7" x14ac:dyDescent="0.25">
      <c r="A8" s="5" t="str">
        <f>[1]Detalhes!A4</f>
        <v>Excel</v>
      </c>
      <c r="B8" s="6">
        <f>VLOOKUP(A8,[1]Detalhes!$A$2:$D$7,4,0)</f>
        <v>49</v>
      </c>
      <c r="C8" s="5">
        <f>SUMIF('[1]Atividades da editora'!$C$2:$C$15,A8,'[1]Atividades da editora'!$E$2:$E$15)</f>
        <v>68</v>
      </c>
      <c r="D8" s="7">
        <f t="shared" si="0"/>
        <v>3332</v>
      </c>
      <c r="E8" s="7">
        <f t="shared" si="1"/>
        <v>333.20000000000005</v>
      </c>
      <c r="F8" s="5"/>
    </row>
    <row r="9" spans="1:7" x14ac:dyDescent="0.25">
      <c r="A9" s="5" t="str">
        <f>[1]Detalhes!A5</f>
        <v>Access</v>
      </c>
      <c r="B9" s="6">
        <f>VLOOKUP(A9,[1]Detalhes!$A$2:$D$7,4,0)</f>
        <v>70</v>
      </c>
      <c r="C9" s="5">
        <f>SUMIF('[1]Atividades da editora'!$C$2:$C$15,A9,'[1]Atividades da editora'!$E$2:$E$15)</f>
        <v>132</v>
      </c>
      <c r="D9" s="7">
        <f t="shared" si="0"/>
        <v>9240</v>
      </c>
      <c r="E9" s="7">
        <f t="shared" si="1"/>
        <v>924</v>
      </c>
      <c r="F9" s="5"/>
    </row>
    <row r="10" spans="1:7" x14ac:dyDescent="0.25">
      <c r="A10" s="5" t="str">
        <f>[1]Detalhes!A6</f>
        <v>PowerPoint</v>
      </c>
      <c r="B10" s="6">
        <f>VLOOKUP(A10,[1]Detalhes!$A$2:$D$7,4,0)</f>
        <v>45</v>
      </c>
      <c r="C10" s="5">
        <f>SUMIF('[1]Atividades da editora'!$C$2:$C$15,A10,'[1]Atividades da editora'!$E$2:$E$15)</f>
        <v>33</v>
      </c>
      <c r="D10" s="7">
        <f t="shared" si="0"/>
        <v>1485</v>
      </c>
      <c r="E10" s="7">
        <f t="shared" si="1"/>
        <v>148.5</v>
      </c>
      <c r="F10" s="5"/>
    </row>
    <row r="11" spans="1:7" x14ac:dyDescent="0.25">
      <c r="A11" s="5" t="str">
        <f>[1]Detalhes!A7</f>
        <v>Internet</v>
      </c>
      <c r="B11" s="6">
        <f>VLOOKUP(A11,[1]Detalhes!$A$2:$D$7,4,0)</f>
        <v>57</v>
      </c>
      <c r="C11" s="5">
        <f>SUMIF('[1]Atividades da editora'!$C$2:$C$15,A11,'[1]Atividades da editora'!$E$2:$E$15)</f>
        <v>47</v>
      </c>
      <c r="D11" s="7">
        <f t="shared" si="0"/>
        <v>2679</v>
      </c>
      <c r="E11" s="7">
        <f t="shared" si="1"/>
        <v>267.90000000000003</v>
      </c>
      <c r="F11" s="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2026-02-21T18:23:10Z</dcterms:modified>
</cp:coreProperties>
</file>