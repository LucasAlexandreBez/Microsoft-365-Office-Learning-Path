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BEF0AC3F-1184-46DE-9BC6-D48C1F3DC2C0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Subtotais" sheetId="1" r:id="rId1"/>
    <sheet name="Metas" sheetId="2" r:id="rId2"/>
    <sheet name="Calculos Estátisticos" sheetId="3" r:id="rId3"/>
    <sheet name="Criterios Condiciona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H1" i="4"/>
  <c r="D4" i="2" l="1"/>
  <c r="D18" i="1"/>
  <c r="D15" i="1"/>
  <c r="D12" i="1"/>
  <c r="D9" i="1"/>
  <c r="D6" i="1"/>
  <c r="D19" i="1" s="1"/>
</calcChain>
</file>

<file path=xl/sharedStrings.xml><?xml version="1.0" encoding="utf-8"?>
<sst xmlns="http://schemas.openxmlformats.org/spreadsheetml/2006/main" count="122" uniqueCount="64">
  <si>
    <t>Rendimentos</t>
  </si>
  <si>
    <t>Nome</t>
  </si>
  <si>
    <t>Mês/Ano</t>
  </si>
  <si>
    <t>Descrição</t>
  </si>
  <si>
    <t>Valor</t>
  </si>
  <si>
    <t>Carlos</t>
  </si>
  <si>
    <t>Joao</t>
  </si>
  <si>
    <t>Janaina</t>
  </si>
  <si>
    <t>Pedro</t>
  </si>
  <si>
    <t>Renata</t>
  </si>
  <si>
    <t>Salário</t>
  </si>
  <si>
    <t>Hora extra</t>
  </si>
  <si>
    <t>Carlos Total</t>
  </si>
  <si>
    <t>Janaina Total</t>
  </si>
  <si>
    <t>Joao Total</t>
  </si>
  <si>
    <t>Pedro Total</t>
  </si>
  <si>
    <t>Renata Total</t>
  </si>
  <si>
    <t>Total Geral</t>
  </si>
  <si>
    <t>Vendas</t>
  </si>
  <si>
    <t>Produtos</t>
  </si>
  <si>
    <t>Quantidade</t>
  </si>
  <si>
    <t>Total</t>
  </si>
  <si>
    <t>Livros</t>
  </si>
  <si>
    <t>Previsão para  a quinzena</t>
  </si>
  <si>
    <t>Horario</t>
  </si>
  <si>
    <t>Temperatura ºC</t>
  </si>
  <si>
    <t>Chuva mm</t>
  </si>
  <si>
    <t>Umidade %</t>
  </si>
  <si>
    <t>Pressão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</si>
  <si>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</si>
  <si>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</si>
  <si>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</si>
  <si>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</si>
  <si>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</si>
  <si>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</si>
  <si>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</si>
  <si>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</si>
  <si>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</si>
  <si>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</si>
  <si>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</si>
  <si>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</si>
  <si>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</si>
  <si>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</si>
  <si>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Movel</t>
  </si>
  <si>
    <t>Material</t>
  </si>
  <si>
    <t>Entrega/Dias</t>
  </si>
  <si>
    <t>Verniz</t>
  </si>
  <si>
    <t>Sim</t>
  </si>
  <si>
    <t>Não</t>
  </si>
  <si>
    <t>Roupeiro</t>
  </si>
  <si>
    <t>Cadeira</t>
  </si>
  <si>
    <t>Mesa</t>
  </si>
  <si>
    <t>Estante</t>
  </si>
  <si>
    <t>Rack</t>
  </si>
  <si>
    <t>Armario</t>
  </si>
  <si>
    <t>Madeira</t>
  </si>
  <si>
    <t>Compensado</t>
  </si>
  <si>
    <t>Fórmica</t>
  </si>
  <si>
    <t>Quantidade de Roupeiros</t>
  </si>
  <si>
    <t>Roupeiros Envernizados</t>
  </si>
  <si>
    <t>Valor Medio dos roupeiros</t>
  </si>
  <si>
    <t>Soma dos Valores dos roupeiros</t>
  </si>
  <si>
    <t>Valor dos roupeiros envernizados</t>
  </si>
  <si>
    <t>Media de Valroes das Mesas Envernizadas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</si>
</sst>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7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0" xfId="0" applyBorder="1"/>
    <xf numFmtId="17" fontId="0" fillId="0" borderId="0" xfId="0" applyNumberFormat="1" applyBorder="1"/>
    <xf numFmtId="44" fontId="0" fillId="0" borderId="0" xfId="1" applyFont="1" applyBorder="1"/>
    <xf numFmtId="0" fontId="2" fillId="0" borderId="0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Continuous"/>
    </xf>
    <xf numFmtId="0" fontId="0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A6" sqref="A6"/>
    </sheetView>
  </sheetViews>
  <sheetFormatPr defaultRowHeight="15" outlineLevelRow="2" x14ac:dyDescent="0.25"/>
  <cols>
    <col min="2" max="2" width="15.140625" customWidth="1"/>
    <col min="3" max="3" width="16" customWidth="1"/>
    <col min="4" max="4" width="16.5703125" customWidth="1"/>
  </cols>
  <sheetData>
    <row r="1" spans="1:4" x14ac:dyDescent="0.25">
      <c r="A1" s="4" t="s">
        <v>0</v>
      </c>
      <c r="B1" s="4"/>
      <c r="C1" s="4"/>
      <c r="D1" s="4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outlineLevel="2" x14ac:dyDescent="0.25">
      <c r="A4" s="1" t="s">
        <v>5</v>
      </c>
      <c r="B4" s="2">
        <v>43101</v>
      </c>
      <c r="C4" s="1" t="s">
        <v>10</v>
      </c>
      <c r="D4" s="3">
        <v>2600</v>
      </c>
    </row>
    <row r="5" spans="1:4" outlineLevel="2" x14ac:dyDescent="0.25">
      <c r="A5" s="1" t="s">
        <v>5</v>
      </c>
      <c r="B5" s="2">
        <v>43132</v>
      </c>
      <c r="C5" s="1" t="s">
        <v>11</v>
      </c>
      <c r="D5" s="3">
        <v>432</v>
      </c>
    </row>
    <row r="6" spans="1:4" outlineLevel="1" x14ac:dyDescent="0.25">
      <c r="A6" s="5" t="s">
        <v>12</v>
      </c>
      <c r="B6" s="2"/>
      <c r="C6" s="1"/>
      <c r="D6" s="3">
        <f>SUBTOTAL(9,D4:D5)</f>
        <v>3032</v>
      </c>
    </row>
    <row r="7" spans="1:4" outlineLevel="2" x14ac:dyDescent="0.25">
      <c r="A7" s="1" t="s">
        <v>7</v>
      </c>
      <c r="B7" s="2">
        <v>43101</v>
      </c>
      <c r="C7" s="1" t="s">
        <v>10</v>
      </c>
      <c r="D7" s="3">
        <v>4230</v>
      </c>
    </row>
    <row r="8" spans="1:4" outlineLevel="2" x14ac:dyDescent="0.25">
      <c r="A8" s="1" t="s">
        <v>7</v>
      </c>
      <c r="B8" s="2">
        <v>43132</v>
      </c>
      <c r="C8" s="1" t="s">
        <v>11</v>
      </c>
      <c r="D8" s="3">
        <v>216</v>
      </c>
    </row>
    <row r="9" spans="1:4" outlineLevel="1" x14ac:dyDescent="0.25">
      <c r="A9" s="5" t="s">
        <v>13</v>
      </c>
      <c r="B9" s="2"/>
      <c r="C9" s="1"/>
      <c r="D9" s="3">
        <f>SUBTOTAL(9,D7:D8)</f>
        <v>4446</v>
      </c>
    </row>
    <row r="10" spans="1:4" outlineLevel="2" x14ac:dyDescent="0.25">
      <c r="A10" s="1" t="s">
        <v>6</v>
      </c>
      <c r="B10" s="2">
        <v>43101</v>
      </c>
      <c r="C10" s="1" t="s">
        <v>10</v>
      </c>
      <c r="D10" s="3">
        <v>3240</v>
      </c>
    </row>
    <row r="11" spans="1:4" outlineLevel="2" x14ac:dyDescent="0.25">
      <c r="A11" s="1" t="s">
        <v>6</v>
      </c>
      <c r="B11" s="2">
        <v>43132</v>
      </c>
      <c r="C11" s="1" t="s">
        <v>11</v>
      </c>
      <c r="D11" s="3">
        <v>315</v>
      </c>
    </row>
    <row r="12" spans="1:4" outlineLevel="1" x14ac:dyDescent="0.25">
      <c r="A12" s="5" t="s">
        <v>14</v>
      </c>
      <c r="B12" s="2"/>
      <c r="C12" s="1"/>
      <c r="D12" s="3">
        <f>SUBTOTAL(9,D10:D11)</f>
        <v>3555</v>
      </c>
    </row>
    <row r="13" spans="1:4" outlineLevel="2" x14ac:dyDescent="0.25">
      <c r="A13" s="1" t="s">
        <v>8</v>
      </c>
      <c r="B13" s="2">
        <v>43101</v>
      </c>
      <c r="C13" s="1" t="s">
        <v>10</v>
      </c>
      <c r="D13" s="3">
        <v>2412</v>
      </c>
    </row>
    <row r="14" spans="1:4" outlineLevel="2" x14ac:dyDescent="0.25">
      <c r="A14" s="1" t="s">
        <v>8</v>
      </c>
      <c r="B14" s="2">
        <v>43132</v>
      </c>
      <c r="C14" s="1" t="s">
        <v>11</v>
      </c>
      <c r="D14" s="3">
        <v>345</v>
      </c>
    </row>
    <row r="15" spans="1:4" outlineLevel="1" x14ac:dyDescent="0.25">
      <c r="A15" s="5" t="s">
        <v>15</v>
      </c>
      <c r="B15" s="2"/>
      <c r="C15" s="1"/>
      <c r="D15" s="3">
        <f>SUBTOTAL(9,D13:D14)</f>
        <v>2757</v>
      </c>
    </row>
    <row r="16" spans="1:4" outlineLevel="2" x14ac:dyDescent="0.25">
      <c r="A16" s="1" t="s">
        <v>9</v>
      </c>
      <c r="B16" s="2">
        <v>43101</v>
      </c>
      <c r="C16" s="1" t="s">
        <v>10</v>
      </c>
      <c r="D16" s="3">
        <v>1820</v>
      </c>
    </row>
    <row r="17" spans="1:4" outlineLevel="2" x14ac:dyDescent="0.25">
      <c r="A17" s="1" t="s">
        <v>9</v>
      </c>
      <c r="B17" s="2">
        <v>43132</v>
      </c>
      <c r="C17" s="1" t="s">
        <v>11</v>
      </c>
      <c r="D17" s="3">
        <v>411</v>
      </c>
    </row>
    <row r="18" spans="1:4" outlineLevel="1" x14ac:dyDescent="0.25">
      <c r="A18" s="9" t="s">
        <v>16</v>
      </c>
      <c r="B18" s="7"/>
      <c r="C18" s="6"/>
      <c r="D18" s="8">
        <f>SUBTOTAL(9,D16:D17)</f>
        <v>2231</v>
      </c>
    </row>
    <row r="19" spans="1:4" x14ac:dyDescent="0.25">
      <c r="A19" s="9" t="s">
        <v>17</v>
      </c>
      <c r="B19" s="7"/>
      <c r="C19" s="6"/>
      <c r="D19" s="8">
        <f>SUBTOTAL(9,D4:D17)</f>
        <v>16021</v>
      </c>
    </row>
  </sheetData>
  <sortState xmlns:xlrd2="http://schemas.microsoft.com/office/spreadsheetml/2017/richdata2" ref="A4:D17">
    <sortCondition ref="A4:A17"/>
  </sortState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984-CC10-49AF-9694-29BEE39CAB4B}">
  <dimension ref="A1:D4"/>
  <sheetViews>
    <sheetView workbookViewId="0">
      <selection activeCell="D4" sqref="D4"/>
    </sheetView>
  </sheetViews>
  <sheetFormatPr defaultRowHeight="15" x14ac:dyDescent="0.25"/>
  <cols>
    <col min="2" max="2" width="11.42578125" bestFit="1" customWidth="1"/>
    <col min="3" max="3" width="14.5703125" customWidth="1"/>
    <col min="4" max="4" width="12.140625" bestFit="1" customWidth="1"/>
  </cols>
  <sheetData>
    <row r="1" spans="1:4" x14ac:dyDescent="0.25">
      <c r="A1" s="12" t="s">
        <v>18</v>
      </c>
      <c r="B1" s="12"/>
      <c r="C1" s="12"/>
      <c r="D1" s="12"/>
    </row>
    <row r="2" spans="1:4" x14ac:dyDescent="0.25">
      <c r="A2" s="13"/>
      <c r="B2" s="13"/>
      <c r="C2" s="13"/>
      <c r="D2" s="13"/>
    </row>
    <row r="3" spans="1:4" x14ac:dyDescent="0.25">
      <c r="A3" s="14" t="s">
        <v>19</v>
      </c>
      <c r="B3" s="14" t="s">
        <v>20</v>
      </c>
      <c r="C3" s="14" t="s">
        <v>4</v>
      </c>
      <c r="D3" s="14" t="s">
        <v>21</v>
      </c>
    </row>
    <row r="4" spans="1:4" x14ac:dyDescent="0.25">
      <c r="A4" s="10" t="s">
        <v>22</v>
      </c>
      <c r="B4" s="10">
        <v>50</v>
      </c>
      <c r="C4" s="15">
        <v>54.000000000000021</v>
      </c>
      <c r="D4" s="15">
        <f>B4*C4</f>
        <v>2700.0000000000009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FF46-9C37-49F1-8887-05C6415E2A52}">
  <dimension ref="A2:H28"/>
  <sheetViews>
    <sheetView topLeftCell="A2" workbookViewId="0">
      <selection activeCell="K5" sqref="K5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0.28515625" bestFit="1" customWidth="1"/>
    <col min="4" max="4" width="11" bestFit="1" customWidth="1"/>
    <col min="5" max="5" width="7.85546875" bestFit="1" customWidth="1"/>
    <col min="7" max="7" width="19.5703125" bestFit="1" customWidth="1"/>
    <col min="8" max="8" width="12.7109375" bestFit="1" customWidth="1"/>
  </cols>
  <sheetData>
    <row r="2" spans="1:8" x14ac:dyDescent="0.25">
      <c r="A2" s="12" t="s">
        <v>23</v>
      </c>
      <c r="B2" s="12"/>
      <c r="C2" s="12"/>
      <c r="D2" s="12"/>
      <c r="E2" s="12"/>
    </row>
    <row r="3" spans="1:8" x14ac:dyDescent="0.25">
      <c r="A3" s="16">
        <v>43352</v>
      </c>
      <c r="B3" s="17" t="s">
        <v>25</v>
      </c>
      <c r="C3" s="17" t="s">
        <v>26</v>
      </c>
      <c r="D3" s="17" t="s">
        <v>27</v>
      </c>
      <c r="E3" s="17" t="s">
        <v>28</v>
      </c>
    </row>
    <row r="4" spans="1:8" ht="15.75" thickBot="1" x14ac:dyDescent="0.3">
      <c r="A4" s="18" t="s">
        <v>24</v>
      </c>
      <c r="B4" s="17"/>
      <c r="C4" s="17"/>
      <c r="D4" s="17"/>
      <c r="E4" s="17"/>
    </row>
    <row r="5" spans="1:8" x14ac:dyDescent="0.25">
      <c r="A5" s="11">
        <v>0</v>
      </c>
      <c r="B5" s="11">
        <v>19</v>
      </c>
      <c r="C5" s="11">
        <v>5</v>
      </c>
      <c r="D5" s="11">
        <v>76</v>
      </c>
      <c r="E5" s="11">
        <v>993</v>
      </c>
      <c r="G5" s="21" t="s">
        <v>29</v>
      </c>
      <c r="H5" s="21"/>
    </row>
    <row r="6" spans="1:8" x14ac:dyDescent="0.25">
      <c r="A6" s="11">
        <v>1</v>
      </c>
      <c r="B6" s="11">
        <v>19.7</v>
      </c>
      <c r="C6" s="11">
        <v>5</v>
      </c>
      <c r="D6" s="11">
        <v>76</v>
      </c>
      <c r="E6" s="11">
        <v>994</v>
      </c>
      <c r="G6" s="19"/>
      <c r="H6" s="19"/>
    </row>
    <row r="7" spans="1:8" x14ac:dyDescent="0.25">
      <c r="A7" s="11">
        <v>2</v>
      </c>
      <c r="B7" s="11">
        <v>19.7</v>
      </c>
      <c r="C7" s="11">
        <v>5</v>
      </c>
      <c r="D7" s="11">
        <v>76</v>
      </c>
      <c r="E7" s="11">
        <v>995</v>
      </c>
      <c r="G7" s="19" t="s">
        <v>30</v>
      </c>
      <c r="H7" s="19">
        <v>29.058333333333334</v>
      </c>
    </row>
    <row r="8" spans="1:8" x14ac:dyDescent="0.25">
      <c r="A8" s="11">
        <v>3</v>
      </c>
      <c r="B8" s="11">
        <v>20</v>
      </c>
      <c r="C8" s="11">
        <v>5</v>
      </c>
      <c r="D8" s="11">
        <v>76</v>
      </c>
      <c r="E8" s="11">
        <v>996</v>
      </c>
      <c r="G8" s="19" t="s">
        <v>31</v>
      </c>
      <c r="H8" s="19">
        <v>1.3915495047444741</v>
      </c>
    </row>
    <row r="9" spans="1:8" x14ac:dyDescent="0.25">
      <c r="A9" s="11">
        <v>4</v>
      </c>
      <c r="B9" s="11">
        <v>21</v>
      </c>
      <c r="C9" s="11">
        <v>5</v>
      </c>
      <c r="D9" s="11">
        <v>76</v>
      </c>
      <c r="E9" s="11">
        <v>997</v>
      </c>
      <c r="G9" s="19" t="s">
        <v>32</v>
      </c>
      <c r="H9" s="19">
        <v>30.5</v>
      </c>
    </row>
    <row r="10" spans="1:8" x14ac:dyDescent="0.25">
      <c r="A10" s="11">
        <v>5</v>
      </c>
      <c r="B10" s="11">
        <v>21</v>
      </c>
      <c r="C10" s="11">
        <v>5</v>
      </c>
      <c r="D10" s="11">
        <v>63</v>
      </c>
      <c r="E10" s="11">
        <v>998</v>
      </c>
      <c r="G10" s="19" t="s">
        <v>33</v>
      </c>
      <c r="H10" s="19">
        <v>37</v>
      </c>
    </row>
    <row r="11" spans="1:8" x14ac:dyDescent="0.25">
      <c r="A11" s="11">
        <v>6</v>
      </c>
      <c r="B11" s="11">
        <v>22</v>
      </c>
      <c r="C11" s="11">
        <v>5</v>
      </c>
      <c r="D11" s="11">
        <v>63</v>
      </c>
      <c r="E11" s="11">
        <v>993</v>
      </c>
      <c r="G11" s="19" t="s">
        <v>34</v>
      </c>
      <c r="H11" s="19">
        <v>6.8171724768932016</v>
      </c>
    </row>
    <row r="12" spans="1:8" x14ac:dyDescent="0.25">
      <c r="A12" s="11">
        <v>7</v>
      </c>
      <c r="B12" s="11">
        <v>23</v>
      </c>
      <c r="C12" s="11">
        <v>5</v>
      </c>
      <c r="D12" s="11">
        <v>63</v>
      </c>
      <c r="E12" s="11">
        <v>994</v>
      </c>
      <c r="G12" s="19" t="s">
        <v>35</v>
      </c>
      <c r="H12" s="19">
        <v>46.473840579710192</v>
      </c>
    </row>
    <row r="13" spans="1:8" x14ac:dyDescent="0.25">
      <c r="A13" s="11">
        <v>8</v>
      </c>
      <c r="B13" s="11">
        <v>27</v>
      </c>
      <c r="C13" s="11">
        <v>5</v>
      </c>
      <c r="D13" s="11">
        <v>63</v>
      </c>
      <c r="E13" s="11">
        <v>995</v>
      </c>
      <c r="G13" s="19" t="s">
        <v>36</v>
      </c>
      <c r="H13" s="19">
        <v>-1.5791781453478495</v>
      </c>
    </row>
    <row r="14" spans="1:8" x14ac:dyDescent="0.25">
      <c r="A14" s="11">
        <v>9</v>
      </c>
      <c r="B14" s="11">
        <v>32</v>
      </c>
      <c r="C14" s="11">
        <v>5</v>
      </c>
      <c r="D14" s="11">
        <v>63</v>
      </c>
      <c r="E14" s="11">
        <v>996</v>
      </c>
      <c r="G14" s="19" t="s">
        <v>37</v>
      </c>
      <c r="H14" s="19">
        <v>-0.23171597680403788</v>
      </c>
    </row>
    <row r="15" spans="1:8" x14ac:dyDescent="0.25">
      <c r="A15" s="11">
        <v>10</v>
      </c>
      <c r="B15" s="11">
        <v>34</v>
      </c>
      <c r="C15" s="11">
        <v>5</v>
      </c>
      <c r="D15" s="11">
        <v>57</v>
      </c>
      <c r="E15" s="11">
        <v>997</v>
      </c>
      <c r="G15" s="19" t="s">
        <v>38</v>
      </c>
      <c r="H15" s="19">
        <v>19</v>
      </c>
    </row>
    <row r="16" spans="1:8" x14ac:dyDescent="0.25">
      <c r="A16" s="11">
        <v>11</v>
      </c>
      <c r="B16" s="11">
        <v>37</v>
      </c>
      <c r="C16" s="11">
        <v>5</v>
      </c>
      <c r="D16" s="11">
        <v>57</v>
      </c>
      <c r="E16" s="11">
        <v>994</v>
      </c>
      <c r="G16" s="19" t="s">
        <v>39</v>
      </c>
      <c r="H16" s="19">
        <v>19</v>
      </c>
    </row>
    <row r="17" spans="1:8" x14ac:dyDescent="0.25">
      <c r="A17" s="11">
        <v>12</v>
      </c>
      <c r="B17" s="11">
        <v>37</v>
      </c>
      <c r="C17" s="11">
        <v>5</v>
      </c>
      <c r="D17" s="11">
        <v>57</v>
      </c>
      <c r="E17" s="11">
        <v>995</v>
      </c>
      <c r="G17" s="19" t="s">
        <v>40</v>
      </c>
      <c r="H17" s="19">
        <v>38</v>
      </c>
    </row>
    <row r="18" spans="1:8" x14ac:dyDescent="0.25">
      <c r="A18" s="11">
        <v>13</v>
      </c>
      <c r="B18" s="11">
        <v>37</v>
      </c>
      <c r="C18" s="11">
        <v>5</v>
      </c>
      <c r="D18" s="11">
        <v>57</v>
      </c>
      <c r="E18" s="11">
        <v>996</v>
      </c>
      <c r="G18" s="19" t="s">
        <v>41</v>
      </c>
      <c r="H18" s="19">
        <v>697.4</v>
      </c>
    </row>
    <row r="19" spans="1:8" ht="15.75" thickBot="1" x14ac:dyDescent="0.3">
      <c r="A19" s="11">
        <v>14</v>
      </c>
      <c r="B19" s="11">
        <v>37</v>
      </c>
      <c r="C19" s="11">
        <v>5</v>
      </c>
      <c r="D19" s="11">
        <v>57</v>
      </c>
      <c r="E19" s="11">
        <v>997</v>
      </c>
      <c r="G19" s="20" t="s">
        <v>42</v>
      </c>
      <c r="H19" s="20">
        <v>24</v>
      </c>
    </row>
    <row r="20" spans="1:8" x14ac:dyDescent="0.25">
      <c r="A20" s="11">
        <v>15</v>
      </c>
      <c r="B20" s="11">
        <v>38</v>
      </c>
      <c r="C20" s="11">
        <v>5</v>
      </c>
      <c r="D20" s="11">
        <v>57</v>
      </c>
      <c r="E20" s="11">
        <v>998</v>
      </c>
    </row>
    <row r="21" spans="1:8" x14ac:dyDescent="0.25">
      <c r="A21" s="11">
        <v>16</v>
      </c>
      <c r="B21" s="11">
        <v>35</v>
      </c>
      <c r="C21" s="11">
        <v>5</v>
      </c>
      <c r="D21" s="11">
        <v>57</v>
      </c>
      <c r="E21" s="11">
        <v>997</v>
      </c>
    </row>
    <row r="22" spans="1:8" x14ac:dyDescent="0.25">
      <c r="A22" s="11">
        <v>17</v>
      </c>
      <c r="B22" s="11">
        <v>35</v>
      </c>
      <c r="C22" s="11">
        <v>5</v>
      </c>
      <c r="D22" s="11">
        <v>63</v>
      </c>
      <c r="E22" s="11">
        <v>996</v>
      </c>
    </row>
    <row r="23" spans="1:8" x14ac:dyDescent="0.25">
      <c r="A23" s="11">
        <v>18</v>
      </c>
      <c r="B23" s="11">
        <v>34</v>
      </c>
      <c r="C23" s="11">
        <v>5</v>
      </c>
      <c r="D23" s="11">
        <v>63</v>
      </c>
      <c r="E23" s="11">
        <v>995</v>
      </c>
    </row>
    <row r="24" spans="1:8" x14ac:dyDescent="0.25">
      <c r="A24" s="11">
        <v>19</v>
      </c>
      <c r="B24" s="11">
        <v>33</v>
      </c>
      <c r="C24" s="11">
        <v>5</v>
      </c>
      <c r="D24" s="11">
        <v>63</v>
      </c>
      <c r="E24" s="11">
        <v>994</v>
      </c>
    </row>
    <row r="25" spans="1:8" x14ac:dyDescent="0.25">
      <c r="A25" s="11">
        <v>20</v>
      </c>
      <c r="B25" s="11">
        <v>32</v>
      </c>
      <c r="C25" s="11">
        <v>5</v>
      </c>
      <c r="D25" s="11">
        <v>76</v>
      </c>
      <c r="E25" s="11">
        <v>993</v>
      </c>
    </row>
    <row r="26" spans="1:8" x14ac:dyDescent="0.25">
      <c r="A26" s="11">
        <v>21</v>
      </c>
      <c r="B26" s="11">
        <v>29</v>
      </c>
      <c r="C26" s="11">
        <v>5</v>
      </c>
      <c r="D26" s="11">
        <v>76</v>
      </c>
      <c r="E26" s="11">
        <v>992</v>
      </c>
    </row>
    <row r="27" spans="1:8" x14ac:dyDescent="0.25">
      <c r="A27" s="11">
        <v>22</v>
      </c>
      <c r="B27" s="11">
        <v>28</v>
      </c>
      <c r="C27" s="11">
        <v>5</v>
      </c>
      <c r="D27" s="11">
        <v>76</v>
      </c>
      <c r="E27" s="11">
        <v>991</v>
      </c>
    </row>
    <row r="28" spans="1:8" x14ac:dyDescent="0.25">
      <c r="A28" s="11">
        <v>23</v>
      </c>
      <c r="B28" s="11">
        <v>27</v>
      </c>
      <c r="C28" s="11">
        <v>5</v>
      </c>
      <c r="D28" s="11">
        <v>76</v>
      </c>
      <c r="E28" s="11">
        <v>990</v>
      </c>
    </row>
  </sheetData>
  <mergeCells count="5">
    <mergeCell ref="B3:B4"/>
    <mergeCell ref="C3:C4"/>
    <mergeCell ref="D3:D4"/>
    <mergeCell ref="E3:E4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A962-ECA1-4CF6-868E-59F4A069FE06}">
  <dimension ref="A1:H19"/>
  <sheetViews>
    <sheetView tabSelected="1" workbookViewId="0">
      <selection activeCell="G21" sqref="G21"/>
    </sheetView>
  </sheetViews>
  <sheetFormatPr defaultRowHeight="15" x14ac:dyDescent="0.25"/>
  <cols>
    <col min="1" max="1" width="23" style="22" customWidth="1"/>
    <col min="2" max="2" width="22.28515625" style="22" customWidth="1"/>
    <col min="3" max="3" width="12.28515625" style="22" bestFit="1" customWidth="1"/>
    <col min="4" max="4" width="9.140625" style="22"/>
    <col min="5" max="5" width="19.28515625" style="24" customWidth="1"/>
    <col min="7" max="7" width="38.85546875" bestFit="1" customWidth="1"/>
    <col min="8" max="8" width="12.140625" bestFit="1" customWidth="1"/>
  </cols>
  <sheetData>
    <row r="1" spans="1:8" x14ac:dyDescent="0.25">
      <c r="A1" s="14" t="s">
        <v>43</v>
      </c>
      <c r="B1" s="14" t="s">
        <v>44</v>
      </c>
      <c r="C1" s="14" t="s">
        <v>45</v>
      </c>
      <c r="D1" s="14" t="s">
        <v>46</v>
      </c>
      <c r="E1" s="23" t="s">
        <v>4</v>
      </c>
      <c r="G1" s="25" t="s">
        <v>58</v>
      </c>
      <c r="H1" s="22">
        <f>COUNTIF(A2:A19,"Roupeiro")</f>
        <v>3</v>
      </c>
    </row>
    <row r="2" spans="1:8" x14ac:dyDescent="0.25">
      <c r="A2" s="22" t="s">
        <v>49</v>
      </c>
      <c r="B2" s="22" t="s">
        <v>55</v>
      </c>
      <c r="C2" s="22">
        <v>45</v>
      </c>
      <c r="D2" s="22" t="s">
        <v>47</v>
      </c>
      <c r="E2" s="24">
        <v>1000</v>
      </c>
      <c r="G2" s="26" t="s">
        <v>59</v>
      </c>
      <c r="H2" s="22">
        <f>COUNTIFS(A2:A19,"Roupeiro",D2:D19,"Sim")</f>
        <v>2</v>
      </c>
    </row>
    <row r="3" spans="1:8" x14ac:dyDescent="0.25">
      <c r="A3" s="22" t="s">
        <v>50</v>
      </c>
      <c r="B3" s="22" t="s">
        <v>55</v>
      </c>
      <c r="C3" s="22">
        <v>10</v>
      </c>
      <c r="D3" s="22" t="s">
        <v>48</v>
      </c>
      <c r="E3" s="24">
        <v>35</v>
      </c>
      <c r="G3" s="26" t="s">
        <v>60</v>
      </c>
      <c r="H3" s="24">
        <f>AVERAGEIF(A2:A19,"Roupeiro",E2:E19)</f>
        <v>1150</v>
      </c>
    </row>
    <row r="4" spans="1:8" x14ac:dyDescent="0.25">
      <c r="A4" s="22" t="s">
        <v>51</v>
      </c>
      <c r="B4" s="22" t="s">
        <v>55</v>
      </c>
      <c r="C4" s="22">
        <v>15</v>
      </c>
      <c r="D4" s="22" t="s">
        <v>47</v>
      </c>
      <c r="E4" s="24">
        <v>400</v>
      </c>
      <c r="G4" s="26" t="s">
        <v>61</v>
      </c>
      <c r="H4" s="24">
        <f>SUMIF(A2:A19,"Roupeiro",E2:E19)</f>
        <v>3450</v>
      </c>
    </row>
    <row r="5" spans="1:8" x14ac:dyDescent="0.25">
      <c r="A5" s="22" t="s">
        <v>52</v>
      </c>
      <c r="B5" s="22" t="s">
        <v>55</v>
      </c>
      <c r="C5" s="22">
        <v>12</v>
      </c>
      <c r="D5" s="22" t="s">
        <v>47</v>
      </c>
      <c r="E5" s="24">
        <v>450</v>
      </c>
      <c r="G5" s="26" t="s">
        <v>62</v>
      </c>
      <c r="H5" s="24">
        <f>SUMIFS(E2:E19,A2:A19,"Roupeiro",D2:D19,"Sim")</f>
        <v>2300</v>
      </c>
    </row>
    <row r="6" spans="1:8" x14ac:dyDescent="0.25">
      <c r="A6" s="22" t="s">
        <v>53</v>
      </c>
      <c r="B6" s="22" t="s">
        <v>55</v>
      </c>
      <c r="C6" s="22">
        <v>10</v>
      </c>
      <c r="D6" s="22" t="s">
        <v>48</v>
      </c>
      <c r="E6" s="24">
        <v>470</v>
      </c>
      <c r="G6" s="26" t="s">
        <v>63</v>
      </c>
      <c r="H6" s="24">
        <f>AVERAGEIFS(E2:E19,A2:A19,A4,D2:D19,"Sim")</f>
        <v>440</v>
      </c>
    </row>
    <row r="7" spans="1:8" x14ac:dyDescent="0.25">
      <c r="A7" s="22" t="s">
        <v>54</v>
      </c>
      <c r="B7" s="22" t="s">
        <v>55</v>
      </c>
      <c r="C7" s="22">
        <v>12</v>
      </c>
      <c r="D7" s="22" t="s">
        <v>47</v>
      </c>
      <c r="E7" s="24">
        <v>512</v>
      </c>
    </row>
    <row r="8" spans="1:8" x14ac:dyDescent="0.25">
      <c r="A8" s="22" t="s">
        <v>49</v>
      </c>
      <c r="B8" s="22" t="s">
        <v>56</v>
      </c>
      <c r="C8" s="22">
        <v>45</v>
      </c>
      <c r="D8" s="22" t="s">
        <v>47</v>
      </c>
      <c r="E8" s="24">
        <v>1300</v>
      </c>
    </row>
    <row r="9" spans="1:8" x14ac:dyDescent="0.25">
      <c r="A9" s="22" t="s">
        <v>50</v>
      </c>
      <c r="B9" s="22" t="s">
        <v>56</v>
      </c>
      <c r="C9" s="22">
        <v>10</v>
      </c>
      <c r="D9" s="22" t="s">
        <v>48</v>
      </c>
      <c r="E9" s="24">
        <v>42</v>
      </c>
    </row>
    <row r="10" spans="1:8" x14ac:dyDescent="0.25">
      <c r="A10" s="22" t="s">
        <v>51</v>
      </c>
      <c r="B10" s="22" t="s">
        <v>56</v>
      </c>
      <c r="C10" s="22">
        <v>15</v>
      </c>
      <c r="D10" s="22" t="s">
        <v>47</v>
      </c>
      <c r="E10" s="24">
        <v>480</v>
      </c>
    </row>
    <row r="11" spans="1:8" x14ac:dyDescent="0.25">
      <c r="A11" s="22" t="s">
        <v>52</v>
      </c>
      <c r="B11" s="22" t="s">
        <v>56</v>
      </c>
      <c r="C11" s="22">
        <v>12</v>
      </c>
      <c r="D11" s="22" t="s">
        <v>47</v>
      </c>
      <c r="E11" s="24">
        <v>480</v>
      </c>
    </row>
    <row r="12" spans="1:8" x14ac:dyDescent="0.25">
      <c r="A12" s="22" t="s">
        <v>53</v>
      </c>
      <c r="B12" s="22" t="s">
        <v>56</v>
      </c>
      <c r="C12" s="22">
        <v>12</v>
      </c>
      <c r="D12" s="22" t="s">
        <v>48</v>
      </c>
      <c r="E12" s="24">
        <v>510</v>
      </c>
    </row>
    <row r="13" spans="1:8" x14ac:dyDescent="0.25">
      <c r="A13" s="22" t="s">
        <v>54</v>
      </c>
      <c r="B13" s="22" t="s">
        <v>56</v>
      </c>
      <c r="C13" s="22">
        <v>15</v>
      </c>
      <c r="D13" s="22" t="s">
        <v>47</v>
      </c>
      <c r="E13" s="24">
        <v>590</v>
      </c>
    </row>
    <row r="14" spans="1:8" x14ac:dyDescent="0.25">
      <c r="A14" s="22" t="s">
        <v>49</v>
      </c>
      <c r="B14" s="22" t="s">
        <v>57</v>
      </c>
      <c r="C14" s="22">
        <v>30</v>
      </c>
      <c r="D14" s="22" t="s">
        <v>48</v>
      </c>
      <c r="E14" s="24">
        <v>1150</v>
      </c>
    </row>
    <row r="15" spans="1:8" x14ac:dyDescent="0.25">
      <c r="A15" s="22" t="s">
        <v>50</v>
      </c>
      <c r="B15" s="22" t="s">
        <v>57</v>
      </c>
      <c r="C15" s="22">
        <v>8</v>
      </c>
      <c r="D15" s="22" t="s">
        <v>48</v>
      </c>
      <c r="E15" s="24">
        <v>33</v>
      </c>
    </row>
    <row r="16" spans="1:8" x14ac:dyDescent="0.25">
      <c r="A16" s="22" t="s">
        <v>51</v>
      </c>
      <c r="B16" s="22" t="s">
        <v>57</v>
      </c>
      <c r="C16" s="22">
        <v>12</v>
      </c>
      <c r="D16" s="22" t="s">
        <v>48</v>
      </c>
      <c r="E16" s="24">
        <v>430</v>
      </c>
    </row>
    <row r="17" spans="1:5" x14ac:dyDescent="0.25">
      <c r="A17" s="22" t="s">
        <v>52</v>
      </c>
      <c r="B17" s="22" t="s">
        <v>57</v>
      </c>
      <c r="C17" s="22">
        <v>10</v>
      </c>
      <c r="D17" s="22" t="s">
        <v>48</v>
      </c>
      <c r="E17" s="24">
        <v>420</v>
      </c>
    </row>
    <row r="18" spans="1:5" x14ac:dyDescent="0.25">
      <c r="A18" s="22" t="s">
        <v>53</v>
      </c>
      <c r="B18" s="22" t="s">
        <v>57</v>
      </c>
      <c r="C18" s="22">
        <v>10</v>
      </c>
      <c r="D18" s="22" t="s">
        <v>48</v>
      </c>
      <c r="E18" s="24">
        <v>412</v>
      </c>
    </row>
    <row r="19" spans="1:5" x14ac:dyDescent="0.25">
      <c r="A19" s="22" t="s">
        <v>54</v>
      </c>
      <c r="B19" s="22" t="s">
        <v>57</v>
      </c>
      <c r="C19" s="22">
        <v>10</v>
      </c>
      <c r="D19" s="22" t="s">
        <v>48</v>
      </c>
      <c r="E19" s="24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Subtotais</vt:lpstr>
      <vt:lpstr>Metas</vt:lpstr>
      <vt:lpstr>Calculos Estátisticos</vt:lpstr>
      <vt:lpstr>Criterios Condicionais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2026-02-23T21:34:23Z</dcterms:modified>
</cp:coreProperties>
</file>