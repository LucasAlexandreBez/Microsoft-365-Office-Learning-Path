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esktop\Repositorys\Microsoft-365-Office-Learning-Path\Excel\Basico\"/>
    </mc:Choice>
  </mc:AlternateContent>
  <xr:revisionPtr revIDLastSave="0" documentId="13_ncr:1_{4D65EF7F-4480-4A2B-A0B9-5126D949B623}" xr6:coauthVersionLast="47" xr6:coauthVersionMax="47" xr10:uidLastSave="{00000000-0000-0000-0000-000000000000}"/>
  <bookViews>
    <workbookView xWindow="-120" yWindow="-120" windowWidth="21840" windowHeight="13140" activeTab="2" xr2:uid="{00000000-000D-0000-FFFF-FFFF00000000}"/>
  </bookViews>
  <sheets>
    <sheet name="Autopreenchimento" sheetId="1" r:id="rId1"/>
    <sheet name="Notas de Artes" sheetId="2" r:id="rId2"/>
    <sheet name="Atividade pg99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" i="3" l="1"/>
  <c r="H6" i="3"/>
  <c r="H7" i="3"/>
  <c r="H8" i="3"/>
  <c r="H9" i="3"/>
  <c r="H5" i="3"/>
  <c r="E5" i="3"/>
  <c r="E6" i="3"/>
  <c r="E7" i="3"/>
  <c r="G7" i="3" s="1"/>
  <c r="E8" i="3"/>
  <c r="E9" i="3"/>
  <c r="G9" i="3" s="1"/>
  <c r="E10" i="3"/>
  <c r="G5" i="3"/>
  <c r="G6" i="3"/>
  <c r="G8" i="3"/>
  <c r="G10" i="3"/>
  <c r="H4" i="3"/>
  <c r="G4" i="3"/>
  <c r="E4" i="3"/>
  <c r="F10" i="2"/>
  <c r="F11" i="2"/>
  <c r="F12" i="2"/>
  <c r="F13" i="2"/>
</calcChain>
</file>

<file path=xl/sharedStrings.xml><?xml version="1.0" encoding="utf-8"?>
<sst xmlns="http://schemas.openxmlformats.org/spreadsheetml/2006/main" count="113" uniqueCount="49">
  <si>
    <t>Domingo</t>
  </si>
  <si>
    <t>Janeiro</t>
  </si>
  <si>
    <t>Segunda-feira</t>
  </si>
  <si>
    <t>Terça-feira</t>
  </si>
  <si>
    <t>Quarta-feira</t>
  </si>
  <si>
    <t>Quinta-feira</t>
  </si>
  <si>
    <t>Sexta-feira</t>
  </si>
  <si>
    <t>Sábado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</si>
  <si>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</si>
  <si>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</si>
  <si>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</si>
  <si>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</si>
  <si>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</si>
  <si>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</si>
  <si>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</si>
  <si>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</si>
  <si>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</si>
  <si>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</si>
  <si>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</si>
  <si>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Notas em Artes</t>
  </si>
  <si>
    <t>Alunos</t>
  </si>
  <si>
    <t>Nota1</t>
  </si>
  <si>
    <t>Nota2</t>
  </si>
  <si>
    <t>Nota3</t>
  </si>
  <si>
    <t>Nota4</t>
  </si>
  <si>
    <t>Fabricio</t>
  </si>
  <si>
    <t>Patricia</t>
  </si>
  <si>
    <t>Constantino</t>
  </si>
  <si>
    <t>Ricardo</t>
  </si>
  <si>
    <t>Soma</t>
  </si>
  <si>
    <t>Média</t>
  </si>
  <si>
    <t>Total Corrente</t>
  </si>
  <si>
    <t>Contar</t>
  </si>
  <si>
    <t>Auto Peças Brasil</t>
  </si>
  <si>
    <t>Produto</t>
  </si>
  <si>
    <t>Valor unitario</t>
  </si>
  <si>
    <t>Estoque inicial</t>
  </si>
  <si>
    <t>Quantidade Vendida</t>
  </si>
  <si>
    <t>Estoque Restante</t>
  </si>
  <si>
    <t>Entrada de Estoque</t>
  </si>
  <si>
    <t>Estoque Atual</t>
  </si>
  <si>
    <t>Valor do Estoque</t>
  </si>
  <si>
    <t>Amortecedor</t>
  </si>
  <si>
    <t>Farol</t>
  </si>
  <si>
    <t>Lanterna</t>
  </si>
  <si>
    <t>Rolamento</t>
  </si>
  <si>
    <t>Retrovisor</t>
  </si>
  <si>
    <t>Pneu</t>
  </si>
  <si>
    <t>Calota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</si>
</sst>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2"/>
      <color rgb="FF3F3F76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2" borderId="1" applyNumberFormat="0" applyAlignment="0" applyProtection="0"/>
  </cellStyleXfs>
  <cellXfs count="31">
    <xf numFmtId="0" fontId="0" fillId="0" borderId="0" xfId="0"/>
    <xf numFmtId="14" fontId="0" fillId="0" borderId="0" xfId="0" applyNumberFormat="1"/>
    <xf numFmtId="20" fontId="0" fillId="0" borderId="0" xfId="0" applyNumberFormat="1"/>
    <xf numFmtId="0" fontId="2" fillId="0" borderId="0" xfId="2" applyAlignment="1">
      <alignment horizontal="center" vertical="center"/>
    </xf>
    <xf numFmtId="0" fontId="3" fillId="2" borderId="1" xfId="3" applyAlignment="1">
      <alignment horizontal="center" vertical="center"/>
    </xf>
    <xf numFmtId="0" fontId="3" fillId="2" borderId="2" xfId="3" applyBorder="1" applyAlignment="1">
      <alignment horizontal="center" vertical="center"/>
    </xf>
    <xf numFmtId="0" fontId="3" fillId="2" borderId="3" xfId="3" applyBorder="1" applyAlignment="1">
      <alignment horizontal="center" vertical="center"/>
    </xf>
    <xf numFmtId="0" fontId="3" fillId="2" borderId="4" xfId="3" applyBorder="1" applyAlignment="1">
      <alignment horizontal="center" vertical="center"/>
    </xf>
    <xf numFmtId="0" fontId="3" fillId="2" borderId="5" xfId="3" applyBorder="1" applyAlignment="1">
      <alignment horizontal="center" vertical="center"/>
    </xf>
    <xf numFmtId="0" fontId="3" fillId="2" borderId="6" xfId="3" applyBorder="1" applyAlignment="1">
      <alignment horizontal="center" vertical="center"/>
    </xf>
    <xf numFmtId="0" fontId="3" fillId="2" borderId="7" xfId="3" applyBorder="1" applyAlignment="1">
      <alignment horizontal="center" vertical="center"/>
    </xf>
    <xf numFmtId="0" fontId="3" fillId="2" borderId="8" xfId="3" applyBorder="1" applyAlignment="1">
      <alignment horizontal="center" vertical="center"/>
    </xf>
    <xf numFmtId="0" fontId="3" fillId="2" borderId="9" xfId="3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4" xfId="0" applyBorder="1"/>
    <xf numFmtId="0" fontId="0" fillId="0" borderId="16" xfId="0" applyBorder="1"/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0" borderId="19" xfId="2" applyFont="1" applyBorder="1" applyAlignment="1">
      <alignment horizontal="center" vertical="center"/>
    </xf>
    <xf numFmtId="0" fontId="6" fillId="0" borderId="20" xfId="2" applyFont="1" applyBorder="1" applyAlignment="1">
      <alignment horizontal="center" vertical="center"/>
    </xf>
    <xf numFmtId="0" fontId="6" fillId="0" borderId="21" xfId="2" applyFont="1" applyBorder="1" applyAlignment="1">
      <alignment horizontal="center" vertical="center"/>
    </xf>
    <xf numFmtId="0" fontId="6" fillId="0" borderId="22" xfId="2" applyFont="1" applyBorder="1" applyAlignment="1">
      <alignment horizontal="center" vertical="center"/>
    </xf>
    <xf numFmtId="0" fontId="6" fillId="0" borderId="23" xfId="2" applyFont="1" applyBorder="1" applyAlignment="1">
      <alignment horizontal="center" vertical="center"/>
    </xf>
    <xf numFmtId="0" fontId="6" fillId="0" borderId="24" xfId="2" applyFont="1" applyBorder="1" applyAlignment="1">
      <alignment horizontal="center" vertical="center"/>
    </xf>
    <xf numFmtId="44" fontId="0" fillId="0" borderId="10" xfId="1" applyFont="1" applyBorder="1" applyAlignment="1">
      <alignment horizontal="center"/>
    </xf>
    <xf numFmtId="0" fontId="0" fillId="0" borderId="10" xfId="0" applyBorder="1" applyAlignment="1">
      <alignment horizontal="center"/>
    </xf>
    <xf numFmtId="44" fontId="0" fillId="0" borderId="17" xfId="1" applyFont="1" applyBorder="1" applyAlignment="1">
      <alignment horizontal="center"/>
    </xf>
    <xf numFmtId="0" fontId="0" fillId="0" borderId="17" xfId="0" applyBorder="1" applyAlignment="1">
      <alignment horizontal="center"/>
    </xf>
    <xf numFmtId="44" fontId="0" fillId="0" borderId="15" xfId="0" applyNumberFormat="1" applyBorder="1" applyAlignment="1">
      <alignment horizontal="center"/>
    </xf>
    <xf numFmtId="44" fontId="0" fillId="0" borderId="18" xfId="0" applyNumberFormat="1" applyBorder="1" applyAlignment="1">
      <alignment horizontal="center"/>
    </xf>
  </cellXfs>
  <cellStyles count="4">
    <cellStyle name="Entrada" xfId="3" builtinId="20"/>
    <cellStyle name="Moeda" xfId="1" builtinId="4"/>
    <cellStyle name="Normal" xfId="0" builtinId="0"/>
    <cellStyle name="Título" xfId="2" builtinId="15"/>
  </cellStyles>
  <dxfs count="11">
    <dxf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 style="thin">
          <color rgb="FF7F7F7F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7F7F7F"/>
        </right>
        <top style="thin">
          <color rgb="FF7F7F7F"/>
        </top>
        <bottom style="thin">
          <color rgb="FF7F7F7F"/>
        </bottom>
        <vertical/>
        <horizontal/>
      </border>
    </dxf>
    <dxf>
      <border outline="0">
        <top style="thin">
          <color rgb="FF7F7F7F"/>
        </top>
      </border>
    </dxf>
    <dxf>
      <border outline="0">
        <bottom style="thin">
          <color rgb="FF7F7F7F"/>
        </bottom>
      </border>
    </dxf>
    <dxf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'Notas de Artes'!$A$10</c:f>
              <c:strCache>
                <c:ptCount val="1"/>
                <c:pt idx="0">
                  <c:v>Fabricio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'Notas de Artes'!$B$9:$E$9</c:f>
              <c:strCache>
                <c:ptCount val="4"/>
                <c:pt idx="0">
                  <c:v>Nota1</c:v>
                </c:pt>
                <c:pt idx="1">
                  <c:v>Nota2</c:v>
                </c:pt>
                <c:pt idx="2">
                  <c:v>Nota3</c:v>
                </c:pt>
                <c:pt idx="3">
                  <c:v>Nota4</c:v>
                </c:pt>
              </c:strCache>
            </c:strRef>
          </c:cat>
          <c:val>
            <c:numRef>
              <c:f>'Notas de Artes'!$B$10:$E$10</c:f>
              <c:numCache>
                <c:formatCode>General</c:formatCode>
                <c:ptCount val="4"/>
                <c:pt idx="0">
                  <c:v>8.3000000000000007</c:v>
                </c:pt>
                <c:pt idx="1">
                  <c:v>9.5</c:v>
                </c:pt>
                <c:pt idx="2">
                  <c:v>8.9</c:v>
                </c:pt>
                <c:pt idx="3">
                  <c:v>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7-48FB-9105-2825BBF5F765}"/>
            </c:ext>
          </c:extLst>
        </c:ser>
        <c:ser>
          <c:idx val="1"/>
          <c:order val="1"/>
          <c:tx>
            <c:strRef>
              <c:f>'Notas de Artes'!$A$11</c:f>
              <c:strCache>
                <c:ptCount val="1"/>
                <c:pt idx="0">
                  <c:v>Patricia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'Notas de Artes'!$B$9:$E$9</c:f>
              <c:strCache>
                <c:ptCount val="4"/>
                <c:pt idx="0">
                  <c:v>Nota1</c:v>
                </c:pt>
                <c:pt idx="1">
                  <c:v>Nota2</c:v>
                </c:pt>
                <c:pt idx="2">
                  <c:v>Nota3</c:v>
                </c:pt>
                <c:pt idx="3">
                  <c:v>Nota4</c:v>
                </c:pt>
              </c:strCache>
            </c:strRef>
          </c:cat>
          <c:val>
            <c:numRef>
              <c:f>'Notas de Artes'!$B$11:$E$11</c:f>
              <c:numCache>
                <c:formatCode>General</c:formatCode>
                <c:ptCount val="4"/>
                <c:pt idx="0">
                  <c:v>9.1999999999999993</c:v>
                </c:pt>
                <c:pt idx="1">
                  <c:v>9.3000000000000007</c:v>
                </c:pt>
                <c:pt idx="2">
                  <c:v>8.6</c:v>
                </c:pt>
                <c:pt idx="3">
                  <c:v>8.6999999999999993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97-48FB-9105-2825BBF5F765}"/>
            </c:ext>
          </c:extLst>
        </c:ser>
        <c:ser>
          <c:idx val="2"/>
          <c:order val="2"/>
          <c:tx>
            <c:strRef>
              <c:f>'Notas de Artes'!$A$12</c:f>
              <c:strCache>
                <c:ptCount val="1"/>
                <c:pt idx="0">
                  <c:v>Constantino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'Notas de Artes'!$B$9:$E$9</c:f>
              <c:strCache>
                <c:ptCount val="4"/>
                <c:pt idx="0">
                  <c:v>Nota1</c:v>
                </c:pt>
                <c:pt idx="1">
                  <c:v>Nota2</c:v>
                </c:pt>
                <c:pt idx="2">
                  <c:v>Nota3</c:v>
                </c:pt>
                <c:pt idx="3">
                  <c:v>Nota4</c:v>
                </c:pt>
              </c:strCache>
            </c:strRef>
          </c:cat>
          <c:val>
            <c:numRef>
              <c:f>'Notas de Artes'!$B$12:$E$12</c:f>
              <c:numCache>
                <c:formatCode>General</c:formatCode>
                <c:ptCount val="4"/>
                <c:pt idx="0">
                  <c:v>7.9</c:v>
                </c:pt>
                <c:pt idx="1">
                  <c:v>8.9</c:v>
                </c:pt>
                <c:pt idx="2">
                  <c:v>9.9</c:v>
                </c:pt>
                <c:pt idx="3">
                  <c:v>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97-48FB-9105-2825BBF5F765}"/>
            </c:ext>
          </c:extLst>
        </c:ser>
        <c:ser>
          <c:idx val="3"/>
          <c:order val="3"/>
          <c:tx>
            <c:strRef>
              <c:f>'Notas de Artes'!$A$13</c:f>
              <c:strCache>
                <c:ptCount val="1"/>
                <c:pt idx="0">
                  <c:v>Ricardo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'Notas de Artes'!$B$9:$E$9</c:f>
              <c:strCache>
                <c:ptCount val="4"/>
                <c:pt idx="0">
                  <c:v>Nota1</c:v>
                </c:pt>
                <c:pt idx="1">
                  <c:v>Nota2</c:v>
                </c:pt>
                <c:pt idx="2">
                  <c:v>Nota3</c:v>
                </c:pt>
                <c:pt idx="3">
                  <c:v>Nota4</c:v>
                </c:pt>
              </c:strCache>
            </c:strRef>
          </c:cat>
          <c:val>
            <c:numRef>
              <c:f>'Notas de Artes'!$B$13:$E$13</c:f>
              <c:numCache>
                <c:formatCode>General</c:formatCode>
                <c:ptCount val="4"/>
                <c:pt idx="0">
                  <c:v>4.5999999999999996</c:v>
                </c:pt>
                <c:pt idx="1">
                  <c:v>4.9000000000000004</c:v>
                </c:pt>
                <c:pt idx="2">
                  <c:v>7.8</c:v>
                </c:pt>
                <c:pt idx="3">
                  <c:v>9.3000000000000007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97-48FB-9105-2825BBF5F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8016160"/>
        <c:axId val="638015680"/>
      </c:barChart>
      <c:catAx>
        <c:axId val="63801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8015680"/>
        <c:crosses val="autoZero"/>
        <c:auto val="1"/>
        <c:lblAlgn val="ctr"/>
        <c:lblOffset val="100"/>
        <c:noMultiLvlLbl val="0"/>
      </c:catAx>
      <c:valAx>
        <c:axId val="63801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801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438150</xdr:colOff>
      <xdr:row>0</xdr:row>
      <xdr:rowOff>238125</xdr:rowOff>
    </xdr:from>
    <xdr:to>
      <xdr:col>15</xdr:col>
      <xdr:colOff>133350</xdr:colOff>
      <xdr:row>14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EC4F63-9F78-9BEC-E22B-51D42C74B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D9E5C5-B093-4B53-B2D3-756C97602FC2}" name="Tabela1" displayName="Tabela1" ref="A9:F13" totalsRowShown="0" headerRowDxfId="0" dataDxfId="1" headerRowBorderDxfId="9" tableBorderDxfId="10" totalsRowBorderDxfId="8" headerRowCellStyle="Entrada" dataCellStyle="Entrada">
  <autoFilter ref="A9:F13" xr:uid="{E4D9E5C5-B093-4B53-B2D3-756C97602FC2}"/>
  <tableColumns count="6">
    <tableColumn id="1" xr3:uid="{E5BAD1E8-56A3-4B04-9FB4-D9D27941C03A}" name="Alunos" dataDxfId="7" dataCellStyle="Entrada"/>
    <tableColumn id="2" xr3:uid="{DDC88291-D94C-428E-8C2B-A3410D46CBA9}" name="Nota1" dataDxfId="6" dataCellStyle="Entrada"/>
    <tableColumn id="3" xr3:uid="{5ABD2AE2-B1D1-4C51-A748-C23873EFEEEB}" name="Nota2" dataDxfId="5" dataCellStyle="Entrada"/>
    <tableColumn id="4" xr3:uid="{27268D5D-FCB7-4814-9CC2-CD324D48971C}" name="Nota3" dataDxfId="4" dataCellStyle="Entrada"/>
    <tableColumn id="5" xr3:uid="{4A144404-052B-4F78-B9A3-7E3E5CFCF955}" name="Nota4" dataDxfId="3" dataCellStyle="Entrada"/>
    <tableColumn id="6" xr3:uid="{95B70271-49EF-4C0F-A3DB-D7CD76AE47E4}" name="Média" dataDxfId="2" dataCellStyle="Entrada">
      <calculatedColumnFormula>AVERAGE(B10:E10)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J8" sqref="J8"/>
    </sheetView>
  </sheetViews>
  <sheetFormatPr defaultRowHeight="15" x14ac:dyDescent="0.25"/>
  <cols>
    <col min="1" max="1" width="13.5703125" bestFit="1" customWidth="1"/>
    <col min="2" max="2" width="10.42578125" bestFit="1" customWidth="1"/>
    <col min="3" max="3" width="10.7109375" bestFit="1" customWidth="1"/>
  </cols>
  <sheetData>
    <row r="1" spans="1:7" x14ac:dyDescent="0.25">
      <c r="A1" t="s">
        <v>0</v>
      </c>
      <c r="B1" t="s">
        <v>1</v>
      </c>
      <c r="C1" s="1">
        <v>44975</v>
      </c>
      <c r="D1" s="2">
        <v>0.33333333333333331</v>
      </c>
      <c r="E1">
        <v>0</v>
      </c>
      <c r="F1">
        <v>0</v>
      </c>
      <c r="G1">
        <v>1</v>
      </c>
    </row>
    <row r="2" spans="1:7" x14ac:dyDescent="0.25">
      <c r="A2" t="s">
        <v>2</v>
      </c>
      <c r="B2" t="s">
        <v>8</v>
      </c>
      <c r="C2" s="1">
        <v>44980</v>
      </c>
      <c r="D2" s="2">
        <v>0.34375</v>
      </c>
      <c r="E2">
        <v>5</v>
      </c>
      <c r="F2">
        <v>2</v>
      </c>
      <c r="G2">
        <v>3</v>
      </c>
    </row>
    <row r="3" spans="1:7" x14ac:dyDescent="0.25">
      <c r="A3" t="s">
        <v>3</v>
      </c>
      <c r="B3" t="s">
        <v>9</v>
      </c>
      <c r="C3" s="1">
        <v>44985</v>
      </c>
      <c r="D3" s="2">
        <v>0.35416666666666702</v>
      </c>
      <c r="E3">
        <v>10</v>
      </c>
      <c r="F3">
        <v>4</v>
      </c>
      <c r="G3">
        <v>5</v>
      </c>
    </row>
    <row r="4" spans="1:7" x14ac:dyDescent="0.25">
      <c r="A4" t="s">
        <v>4</v>
      </c>
      <c r="B4" t="s">
        <v>10</v>
      </c>
      <c r="C4" s="1">
        <v>44990</v>
      </c>
      <c r="D4" s="2">
        <v>0.36458333333333298</v>
      </c>
      <c r="E4">
        <v>15</v>
      </c>
      <c r="F4">
        <v>6</v>
      </c>
      <c r="G4">
        <v>7</v>
      </c>
    </row>
    <row r="5" spans="1:7" x14ac:dyDescent="0.25">
      <c r="A5" t="s">
        <v>5</v>
      </c>
      <c r="B5" t="s">
        <v>11</v>
      </c>
      <c r="C5" s="1">
        <v>44995</v>
      </c>
      <c r="D5" s="2">
        <v>0.375</v>
      </c>
      <c r="E5">
        <v>20</v>
      </c>
      <c r="F5">
        <v>8</v>
      </c>
      <c r="G5">
        <v>9</v>
      </c>
    </row>
    <row r="6" spans="1:7" x14ac:dyDescent="0.25">
      <c r="A6" t="s">
        <v>6</v>
      </c>
      <c r="B6" t="s">
        <v>12</v>
      </c>
      <c r="C6" s="1"/>
      <c r="D6" s="2">
        <v>0.38541666666666702</v>
      </c>
      <c r="E6">
        <v>25</v>
      </c>
      <c r="F6">
        <v>10</v>
      </c>
      <c r="G6">
        <v>11</v>
      </c>
    </row>
    <row r="7" spans="1:7" x14ac:dyDescent="0.25">
      <c r="A7" t="s">
        <v>7</v>
      </c>
      <c r="B7" t="s">
        <v>13</v>
      </c>
      <c r="C7" s="1"/>
      <c r="D7" s="2">
        <v>0.39583333333333298</v>
      </c>
      <c r="E7">
        <v>30</v>
      </c>
      <c r="F7">
        <v>12</v>
      </c>
      <c r="G7">
        <v>13</v>
      </c>
    </row>
    <row r="8" spans="1:7" x14ac:dyDescent="0.25">
      <c r="B8" t="s">
        <v>14</v>
      </c>
      <c r="C8" s="1"/>
      <c r="D8" s="2">
        <v>0.40625</v>
      </c>
      <c r="E8">
        <v>35</v>
      </c>
      <c r="F8">
        <v>14</v>
      </c>
      <c r="G8">
        <v>15</v>
      </c>
    </row>
    <row r="9" spans="1:7" x14ac:dyDescent="0.25">
      <c r="B9" t="s">
        <v>15</v>
      </c>
      <c r="C9" s="1"/>
      <c r="D9" s="2">
        <v>0.41666666666666702</v>
      </c>
      <c r="E9">
        <v>40</v>
      </c>
      <c r="F9">
        <v>16</v>
      </c>
      <c r="G9">
        <v>17</v>
      </c>
    </row>
    <row r="10" spans="1:7" x14ac:dyDescent="0.25">
      <c r="B10" t="s">
        <v>16</v>
      </c>
      <c r="C10" s="1"/>
      <c r="D10" s="2">
        <v>0.42708333333333298</v>
      </c>
      <c r="E10">
        <v>45</v>
      </c>
      <c r="F10">
        <v>18</v>
      </c>
      <c r="G10">
        <v>19</v>
      </c>
    </row>
    <row r="11" spans="1:7" x14ac:dyDescent="0.25">
      <c r="B11" t="s">
        <v>17</v>
      </c>
      <c r="C11" s="1"/>
      <c r="D11" s="2"/>
    </row>
    <row r="12" spans="1:7" x14ac:dyDescent="0.25">
      <c r="B12" t="s">
        <v>18</v>
      </c>
      <c r="C12" s="1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9A43-93DB-4D1D-A4AF-3774C1DD4FCB}">
  <dimension ref="A1:F13"/>
  <sheetViews>
    <sheetView workbookViewId="0">
      <selection activeCell="I22" sqref="I22"/>
    </sheetView>
  </sheetViews>
  <sheetFormatPr defaultRowHeight="15" x14ac:dyDescent="0.25"/>
  <cols>
    <col min="1" max="1" width="14.7109375" bestFit="1" customWidth="1"/>
    <col min="6" max="6" width="9.28515625" customWidth="1"/>
  </cols>
  <sheetData>
    <row r="1" spans="1:6" ht="23.25" x14ac:dyDescent="0.25">
      <c r="A1" s="3" t="s">
        <v>19</v>
      </c>
      <c r="B1" s="3"/>
      <c r="C1" s="3"/>
      <c r="D1" s="3"/>
      <c r="E1" s="3"/>
    </row>
    <row r="2" spans="1:6" ht="15.75" x14ac:dyDescent="0.25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</row>
    <row r="3" spans="1:6" ht="15.75" x14ac:dyDescent="0.25">
      <c r="A3" s="4" t="s">
        <v>25</v>
      </c>
      <c r="B3" s="4">
        <v>8.3000000000000007</v>
      </c>
      <c r="C3" s="4">
        <v>9.5</v>
      </c>
      <c r="D3" s="4">
        <v>8.9</v>
      </c>
      <c r="E3" s="4">
        <v>7.3</v>
      </c>
    </row>
    <row r="4" spans="1:6" ht="15.75" x14ac:dyDescent="0.25">
      <c r="A4" s="4" t="s">
        <v>26</v>
      </c>
      <c r="B4" s="4">
        <v>9.1999999999999993</v>
      </c>
      <c r="C4" s="4">
        <v>9.3000000000000007</v>
      </c>
      <c r="D4" s="4">
        <v>8.6</v>
      </c>
      <c r="E4" s="4">
        <v>8.6999999999999993</v>
      </c>
    </row>
    <row r="5" spans="1:6" ht="15.75" x14ac:dyDescent="0.25">
      <c r="A5" s="4" t="s">
        <v>27</v>
      </c>
      <c r="B5" s="4">
        <v>7.9</v>
      </c>
      <c r="C5" s="4">
        <v>8.9</v>
      </c>
      <c r="D5" s="4">
        <v>9.9</v>
      </c>
      <c r="E5" s="4">
        <v>8.9</v>
      </c>
    </row>
    <row r="6" spans="1:6" ht="15.75" x14ac:dyDescent="0.25">
      <c r="A6" s="4" t="s">
        <v>28</v>
      </c>
      <c r="B6" s="4">
        <v>4.5999999999999996</v>
      </c>
      <c r="C6" s="4">
        <v>4.9000000000000004</v>
      </c>
      <c r="D6" s="4">
        <v>7.8</v>
      </c>
      <c r="E6" s="4">
        <v>9.3000000000000007</v>
      </c>
    </row>
    <row r="8" spans="1:6" ht="23.25" x14ac:dyDescent="0.25">
      <c r="A8" s="3" t="s">
        <v>19</v>
      </c>
      <c r="B8" s="3"/>
      <c r="C8" s="3"/>
      <c r="D8" s="3"/>
      <c r="E8" s="3"/>
    </row>
    <row r="9" spans="1:6" ht="15.75" x14ac:dyDescent="0.25">
      <c r="A9" s="7" t="s">
        <v>20</v>
      </c>
      <c r="B9" s="8" t="s">
        <v>21</v>
      </c>
      <c r="C9" s="8" t="s">
        <v>22</v>
      </c>
      <c r="D9" s="8" t="s">
        <v>23</v>
      </c>
      <c r="E9" s="8" t="s">
        <v>24</v>
      </c>
      <c r="F9" s="9" t="s">
        <v>30</v>
      </c>
    </row>
    <row r="10" spans="1:6" ht="15.75" x14ac:dyDescent="0.25">
      <c r="A10" s="5" t="s">
        <v>25</v>
      </c>
      <c r="B10" s="4">
        <v>8.3000000000000007</v>
      </c>
      <c r="C10" s="4">
        <v>9.5</v>
      </c>
      <c r="D10" s="4">
        <v>8.9</v>
      </c>
      <c r="E10" s="4">
        <v>7.3</v>
      </c>
      <c r="F10" s="6">
        <f t="shared" ref="F10:F13" si="0">AVERAGE(B10:E10)</f>
        <v>8.5</v>
      </c>
    </row>
    <row r="11" spans="1:6" ht="15.75" x14ac:dyDescent="0.25">
      <c r="A11" s="5" t="s">
        <v>26</v>
      </c>
      <c r="B11" s="4">
        <v>9.1999999999999993</v>
      </c>
      <c r="C11" s="4">
        <v>9.3000000000000007</v>
      </c>
      <c r="D11" s="4">
        <v>8.6</v>
      </c>
      <c r="E11" s="4">
        <v>8.6999999999999993</v>
      </c>
      <c r="F11" s="6">
        <f t="shared" si="0"/>
        <v>8.9499999999999993</v>
      </c>
    </row>
    <row r="12" spans="1:6" ht="15.75" x14ac:dyDescent="0.25">
      <c r="A12" s="5" t="s">
        <v>27</v>
      </c>
      <c r="B12" s="4">
        <v>7.9</v>
      </c>
      <c r="C12" s="4">
        <v>8.9</v>
      </c>
      <c r="D12" s="4">
        <v>9.9</v>
      </c>
      <c r="E12" s="4">
        <v>8.9</v>
      </c>
      <c r="F12" s="6">
        <f t="shared" si="0"/>
        <v>8.9</v>
      </c>
    </row>
    <row r="13" spans="1:6" ht="15.75" x14ac:dyDescent="0.25">
      <c r="A13" s="10" t="s">
        <v>28</v>
      </c>
      <c r="B13" s="11">
        <v>4.5999999999999996</v>
      </c>
      <c r="C13" s="11">
        <v>4.9000000000000004</v>
      </c>
      <c r="D13" s="11">
        <v>7.8</v>
      </c>
      <c r="E13" s="11">
        <v>9.3000000000000007</v>
      </c>
      <c r="F13" s="12">
        <f t="shared" si="0"/>
        <v>6.65</v>
      </c>
    </row>
  </sheetData>
  <mergeCells count="2">
    <mergeCell ref="A1:E1"/>
    <mergeCell ref="A8:E8"/>
  </mergeCells>
  <phoneticPr fontId="4" type="noConversion"/>
  <conditionalFormatting sqref="B3:E6">
    <cfRule type="iconSet" priority="8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span" xr2:uid="{00E24053-EB73-41D0-AA16-A44FF78D0CD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'Notas de Artes'!B10:F10</xm:f>
              <xm:sqref>G10</xm:sqref>
            </x14:sparkline>
            <x14:sparkline>
              <xm:f>'Notas de Artes'!B11:F11</xm:f>
              <xm:sqref>G11</xm:sqref>
            </x14:sparkline>
            <x14:sparkline>
              <xm:f>'Notas de Artes'!B12:F12</xm:f>
              <xm:sqref>G12</xm:sqref>
            </x14:sparkline>
            <x14:sparkline>
              <xm:f>'Notas de Artes'!B13:F13</xm:f>
              <xm:sqref>G13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372B2-3C0A-4794-85A0-6DAE7900F519}">
  <dimension ref="A1:H10"/>
  <sheetViews>
    <sheetView tabSelected="1" workbookViewId="0">
      <selection activeCell="G16" sqref="G16"/>
    </sheetView>
  </sheetViews>
  <sheetFormatPr defaultRowHeight="15" x14ac:dyDescent="0.25"/>
  <cols>
    <col min="1" max="1" width="22" customWidth="1"/>
    <col min="2" max="2" width="10.5703125" bestFit="1" customWidth="1"/>
    <col min="4" max="4" width="17.5703125" customWidth="1"/>
    <col min="5" max="5" width="11.28515625" customWidth="1"/>
    <col min="6" max="6" width="13.85546875" customWidth="1"/>
    <col min="7" max="7" width="12.28515625" customWidth="1"/>
    <col min="8" max="8" width="14.85546875" customWidth="1"/>
  </cols>
  <sheetData>
    <row r="1" spans="1:8" ht="23.25" customHeight="1" x14ac:dyDescent="0.25">
      <c r="A1" s="20" t="s">
        <v>33</v>
      </c>
      <c r="B1" s="21"/>
      <c r="C1" s="21"/>
      <c r="D1" s="21"/>
      <c r="E1" s="21"/>
      <c r="F1" s="21"/>
      <c r="G1" s="21"/>
      <c r="H1" s="22"/>
    </row>
    <row r="2" spans="1:8" ht="15.75" thickBot="1" x14ac:dyDescent="0.3">
      <c r="A2" s="23"/>
      <c r="B2" s="19"/>
      <c r="C2" s="19"/>
      <c r="D2" s="19"/>
      <c r="E2" s="19"/>
      <c r="F2" s="19"/>
      <c r="G2" s="19"/>
      <c r="H2" s="24"/>
    </row>
    <row r="3" spans="1:8" s="13" customFormat="1" ht="30" x14ac:dyDescent="0.25">
      <c r="A3" s="16" t="s">
        <v>34</v>
      </c>
      <c r="B3" s="17" t="s">
        <v>35</v>
      </c>
      <c r="C3" s="17" t="s">
        <v>36</v>
      </c>
      <c r="D3" s="17" t="s">
        <v>37</v>
      </c>
      <c r="E3" s="17" t="s">
        <v>38</v>
      </c>
      <c r="F3" s="17" t="s">
        <v>39</v>
      </c>
      <c r="G3" s="17" t="s">
        <v>40</v>
      </c>
      <c r="H3" s="18" t="s">
        <v>41</v>
      </c>
    </row>
    <row r="4" spans="1:8" x14ac:dyDescent="0.25">
      <c r="A4" s="14" t="s">
        <v>42</v>
      </c>
      <c r="B4" s="25">
        <v>180</v>
      </c>
      <c r="C4" s="26">
        <v>30</v>
      </c>
      <c r="D4" s="26">
        <v>12</v>
      </c>
      <c r="E4" s="26">
        <f>C4-D4</f>
        <v>18</v>
      </c>
      <c r="F4" s="26">
        <v>20</v>
      </c>
      <c r="G4" s="26">
        <f>E4+F4</f>
        <v>38</v>
      </c>
      <c r="H4" s="29">
        <f>G4*B4</f>
        <v>6840</v>
      </c>
    </row>
    <row r="5" spans="1:8" x14ac:dyDescent="0.25">
      <c r="A5" s="14" t="s">
        <v>43</v>
      </c>
      <c r="B5" s="25">
        <v>240</v>
      </c>
      <c r="C5" s="26">
        <v>33</v>
      </c>
      <c r="D5" s="26">
        <v>7</v>
      </c>
      <c r="E5" s="26">
        <f t="shared" ref="E5:E10" si="0">C5-D5</f>
        <v>26</v>
      </c>
      <c r="F5" s="26">
        <v>50</v>
      </c>
      <c r="G5" s="26">
        <f t="shared" ref="G5:G10" si="1">E5+F5</f>
        <v>76</v>
      </c>
      <c r="H5" s="29">
        <f>G5*B5</f>
        <v>18240</v>
      </c>
    </row>
    <row r="6" spans="1:8" x14ac:dyDescent="0.25">
      <c r="A6" s="14" t="s">
        <v>44</v>
      </c>
      <c r="B6" s="25">
        <v>35</v>
      </c>
      <c r="C6" s="26">
        <v>15</v>
      </c>
      <c r="D6" s="26">
        <v>9</v>
      </c>
      <c r="E6" s="26">
        <f t="shared" si="0"/>
        <v>6</v>
      </c>
      <c r="F6" s="26">
        <v>52</v>
      </c>
      <c r="G6" s="26">
        <f t="shared" si="1"/>
        <v>58</v>
      </c>
      <c r="H6" s="29">
        <f t="shared" ref="H6:H10" si="2">G6*B6</f>
        <v>2030</v>
      </c>
    </row>
    <row r="7" spans="1:8" x14ac:dyDescent="0.25">
      <c r="A7" s="14" t="s">
        <v>45</v>
      </c>
      <c r="B7" s="25">
        <v>27</v>
      </c>
      <c r="C7" s="26">
        <v>15</v>
      </c>
      <c r="D7" s="26">
        <v>11</v>
      </c>
      <c r="E7" s="26">
        <f t="shared" si="0"/>
        <v>4</v>
      </c>
      <c r="F7" s="26">
        <v>3</v>
      </c>
      <c r="G7" s="26">
        <f t="shared" si="1"/>
        <v>7</v>
      </c>
      <c r="H7" s="29">
        <f t="shared" si="2"/>
        <v>189</v>
      </c>
    </row>
    <row r="8" spans="1:8" x14ac:dyDescent="0.25">
      <c r="A8" s="14" t="s">
        <v>46</v>
      </c>
      <c r="B8" s="25">
        <v>19</v>
      </c>
      <c r="C8" s="26">
        <v>70</v>
      </c>
      <c r="D8" s="26">
        <v>29</v>
      </c>
      <c r="E8" s="26">
        <f t="shared" si="0"/>
        <v>41</v>
      </c>
      <c r="F8" s="26">
        <v>6</v>
      </c>
      <c r="G8" s="26">
        <f t="shared" si="1"/>
        <v>47</v>
      </c>
      <c r="H8" s="29">
        <f t="shared" si="2"/>
        <v>893</v>
      </c>
    </row>
    <row r="9" spans="1:8" x14ac:dyDescent="0.25">
      <c r="A9" s="14" t="s">
        <v>47</v>
      </c>
      <c r="B9" s="25">
        <v>140</v>
      </c>
      <c r="C9" s="26">
        <v>60</v>
      </c>
      <c r="D9" s="26">
        <v>23</v>
      </c>
      <c r="E9" s="26">
        <f t="shared" si="0"/>
        <v>37</v>
      </c>
      <c r="F9" s="26">
        <v>10</v>
      </c>
      <c r="G9" s="26">
        <f t="shared" si="1"/>
        <v>47</v>
      </c>
      <c r="H9" s="29">
        <f t="shared" si="2"/>
        <v>6580</v>
      </c>
    </row>
    <row r="10" spans="1:8" ht="15.75" thickBot="1" x14ac:dyDescent="0.3">
      <c r="A10" s="15" t="s">
        <v>48</v>
      </c>
      <c r="B10" s="27">
        <v>15</v>
      </c>
      <c r="C10" s="28">
        <v>62</v>
      </c>
      <c r="D10" s="28">
        <v>15</v>
      </c>
      <c r="E10" s="28">
        <f t="shared" si="0"/>
        <v>47</v>
      </c>
      <c r="F10" s="28">
        <v>3</v>
      </c>
      <c r="G10" s="28">
        <f t="shared" si="1"/>
        <v>50</v>
      </c>
      <c r="H10" s="30">
        <f t="shared" si="2"/>
        <v>750</v>
      </c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Autopreenchimento</vt:lpstr>
      <vt:lpstr>Notas de Artes</vt:lpstr>
      <vt:lpstr>Atividade pg99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Alexandre</dc:creator>
  <cp:lastModifiedBy>Lucas Alexandre</cp:lastModifiedBy>
  <dcterms:created xsi:type="dcterms:W3CDTF">2015-06-05T18:19:34Z</dcterms:created>
  <dcterms:modified xsi:type="dcterms:W3CDTF">2026-02-15T19:19:01Z</dcterms:modified>
</cp:coreProperties>
</file>