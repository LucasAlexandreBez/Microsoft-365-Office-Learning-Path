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esktop\Repositorys\Microsoft-365-Office-Learning-Path\Excel\Basico\"/>
    </mc:Choice>
  </mc:AlternateContent>
  <xr:revisionPtr revIDLastSave="0" documentId="13_ncr:1_{09FC0906-AE86-4786-A743-5F348577C551}" xr6:coauthVersionLast="47" xr6:coauthVersionMax="47" xr10:uidLastSave="{00000000-0000-0000-0000-000000000000}"/>
  <bookViews>
    <workbookView xWindow="-120" yWindow="-120" windowWidth="21840" windowHeight="13140" firstSheet="1" activeTab="3" xr2:uid="{6BC206FD-8583-4301-A23E-E38B84B241C3}"/>
  </bookViews>
  <sheets>
    <sheet name="Semana 1 Mes 2" sheetId="1" r:id="rId1"/>
    <sheet name="Movimento de Estoque" sheetId="3" r:id="rId2"/>
    <sheet name="Formatação de numeros" sheetId="2" r:id="rId3"/>
    <sheet name="Atividade pg73 e pg81" sheetId="4" r:id="rId4"/>
    <sheet name="Porcentagen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4" l="1"/>
  <c r="C27" i="4"/>
  <c r="C26" i="4"/>
  <c r="C15" i="4"/>
  <c r="C16" i="4"/>
  <c r="C17" i="4"/>
  <c r="C18" i="4"/>
  <c r="C19" i="4"/>
  <c r="C14" i="4"/>
  <c r="C8" i="6"/>
  <c r="C4" i="6"/>
  <c r="D4" i="6"/>
  <c r="D3" i="6"/>
  <c r="C3" i="6"/>
  <c r="C8" i="4"/>
  <c r="C11" i="4"/>
  <c r="C10" i="4"/>
  <c r="E9" i="3"/>
  <c r="E4" i="3"/>
  <c r="E5" i="3"/>
  <c r="E6" i="3"/>
  <c r="E7" i="3"/>
  <c r="E8" i="3"/>
  <c r="E3" i="3"/>
  <c r="D4" i="1"/>
  <c r="D5" i="1"/>
  <c r="D6" i="1"/>
  <c r="D7" i="1"/>
  <c r="D3" i="1"/>
</calcChain>
</file>

<file path=xl/sharedStrings.xml><?xml version="1.0" encoding="utf-8"?>
<sst xmlns="http://schemas.openxmlformats.org/spreadsheetml/2006/main" count="65" uniqueCount="50">
  <si>
    <t>Saldo</t>
  </si>
  <si>
    <t>Saída</t>
  </si>
  <si>
    <t>Entrada</t>
  </si>
  <si>
    <t>Data</t>
  </si>
  <si>
    <t xml:space="preserve">Fluxo de caixa </t>
  </si>
  <si>
    <t>Circulação de mercadorias</t>
  </si>
  <si>
    <t>Produtos</t>
  </si>
  <si>
    <t>Valor Unitário</t>
  </si>
  <si>
    <t>Estoque</t>
  </si>
  <si>
    <t>Valor no Estoque</t>
  </si>
  <si>
    <t>Camisa manga longa</t>
  </si>
  <si>
    <t>Camisa manga curta</t>
  </si>
  <si>
    <t>Camiseta regata</t>
  </si>
  <si>
    <t>Camiseta gola em V</t>
  </si>
  <si>
    <t>Camiseta gola polo</t>
  </si>
  <si>
    <t>Short</t>
  </si>
  <si>
    <t>Calça Jeans</t>
  </si>
  <si>
    <t>Cidade de Origem</t>
  </si>
  <si>
    <t>Cidade de destino</t>
  </si>
  <si>
    <t>Distância(Km)</t>
  </si>
  <si>
    <t>São Paulo</t>
  </si>
  <si>
    <t>Rio de Janeiro</t>
  </si>
  <si>
    <t>Brasilia</t>
  </si>
  <si>
    <t>Salvador</t>
  </si>
  <si>
    <t>Distancia entre rotas(Ida e Volta)</t>
  </si>
  <si>
    <t>Total</t>
  </si>
  <si>
    <t>Produto</t>
  </si>
  <si>
    <t>Celular</t>
  </si>
  <si>
    <t>Valor</t>
  </si>
  <si>
    <t>Valor com desconto</t>
  </si>
  <si>
    <t>Valor com aumento</t>
  </si>
  <si>
    <t>Capa de celular</t>
  </si>
  <si>
    <t>Atividade 2</t>
  </si>
  <si>
    <t>Valor original</t>
  </si>
  <si>
    <t>Diferença</t>
  </si>
  <si>
    <t>valor</t>
  </si>
  <si>
    <t>Aplicação</t>
  </si>
  <si>
    <t>Descrição</t>
  </si>
  <si>
    <t>Tempo</t>
  </si>
  <si>
    <t>Taxa</t>
  </si>
  <si>
    <t>Taxa de Juros</t>
  </si>
  <si>
    <t>Tempo de investimento</t>
  </si>
  <si>
    <t>Capital Investido</t>
  </si>
  <si>
    <t>Juros simples</t>
  </si>
  <si>
    <t>Imposto de renda</t>
  </si>
  <si>
    <t>Rendimento total</t>
  </si>
  <si>
    <t>Ano</t>
  </si>
  <si>
    <t>Capital Inicial</t>
  </si>
  <si>
    <t>Rendimentos</t>
  </si>
  <si>
    <t>Rendimento - Imposto de Renda + capital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</si>
</sst>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[$-F800]dddd\,\ mmmm\ dd\,\ yyyy"/>
    <numFmt numFmtId="166" formatCode="0.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6">
    <xf numFmtId="0" fontId="0" fillId="0" borderId="0" xfId="0"/>
    <xf numFmtId="14" fontId="0" fillId="0" borderId="0" xfId="1" applyNumberFormat="1" applyFont="1"/>
    <xf numFmtId="0" fontId="0" fillId="0" borderId="0" xfId="0" applyFont="1"/>
    <xf numFmtId="164" fontId="0" fillId="0" borderId="1" xfId="0" applyNumberFormat="1" applyBorder="1"/>
    <xf numFmtId="165" fontId="0" fillId="0" borderId="5" xfId="1" applyNumberFormat="1" applyFont="1" applyBorder="1"/>
    <xf numFmtId="164" fontId="0" fillId="0" borderId="6" xfId="0" applyNumberFormat="1" applyBorder="1"/>
    <xf numFmtId="165" fontId="0" fillId="0" borderId="7" xfId="1" applyNumberFormat="1" applyFont="1" applyBorder="1"/>
    <xf numFmtId="164" fontId="0" fillId="0" borderId="8" xfId="0" applyNumberFormat="1" applyBorder="1"/>
    <xf numFmtId="164" fontId="0" fillId="0" borderId="9" xfId="0" applyNumberFormat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2" fontId="0" fillId="0" borderId="0" xfId="0" applyNumberFormat="1"/>
    <xf numFmtId="9" fontId="0" fillId="0" borderId="0" xfId="2" applyFont="1"/>
    <xf numFmtId="166" fontId="0" fillId="0" borderId="0" xfId="2" applyNumberFormat="1" applyFont="1"/>
    <xf numFmtId="10" fontId="0" fillId="0" borderId="0" xfId="2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0" applyFont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 applyAlignment="1">
      <alignment wrapText="1"/>
    </xf>
    <xf numFmtId="0" fontId="2" fillId="3" borderId="3" xfId="0" applyFont="1" applyFill="1" applyBorder="1"/>
    <xf numFmtId="0" fontId="2" fillId="3" borderId="4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6" xfId="3" applyNumberFormat="1" applyFont="1" applyBorder="1" applyAlignment="1">
      <alignment horizontal="center"/>
    </xf>
    <xf numFmtId="164" fontId="0" fillId="0" borderId="9" xfId="3" applyNumberFormat="1" applyFont="1" applyBorder="1" applyAlignment="1">
      <alignment horizontal="center"/>
    </xf>
    <xf numFmtId="0" fontId="0" fillId="0" borderId="0" xfId="0" applyAlignment="1">
      <alignment horizontal="center" wrapText="1"/>
    </xf>
    <xf numFmtId="9" fontId="0" fillId="0" borderId="0" xfId="0" applyNumberFormat="1"/>
    <xf numFmtId="44" fontId="0" fillId="0" borderId="0" xfId="3" applyFont="1"/>
    <xf numFmtId="44" fontId="0" fillId="0" borderId="0" xfId="0" applyNumberFormat="1"/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9" fontId="0" fillId="0" borderId="1" xfId="0" applyNumberFormat="1" applyBorder="1"/>
    <xf numFmtId="9" fontId="0" fillId="0" borderId="6" xfId="0" applyNumberFormat="1" applyBorder="1"/>
    <xf numFmtId="44" fontId="0" fillId="0" borderId="6" xfId="3" applyFont="1" applyBorder="1"/>
    <xf numFmtId="0" fontId="0" fillId="0" borderId="8" xfId="0" applyBorder="1" applyAlignment="1">
      <alignment wrapText="1"/>
    </xf>
    <xf numFmtId="0" fontId="2" fillId="0" borderId="0" xfId="0" applyFont="1" applyAlignment="1">
      <alignment horizontal="center" vertical="center"/>
    </xf>
    <xf numFmtId="0" fontId="2" fillId="3" borderId="4" xfId="0" applyFont="1" applyFill="1" applyBorder="1"/>
    <xf numFmtId="44" fontId="0" fillId="0" borderId="6" xfId="0" applyNumberFormat="1" applyBorder="1"/>
    <xf numFmtId="44" fontId="0" fillId="0" borderId="9" xfId="0" applyNumberFormat="1" applyBorder="1"/>
  </cellXfs>
  <cellStyles count="4">
    <cellStyle name="Moeda" xfId="3" builtinId="4"/>
    <cellStyle name="Normal" xfId="0" builtinId="0"/>
    <cellStyle name="Pe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F6A00-7E27-497C-AB89-A95046B5BB20}">
  <sheetPr>
    <tabColor theme="4" tint="-0.499984740745262"/>
  </sheetPr>
  <dimension ref="A1:E16"/>
  <sheetViews>
    <sheetView workbookViewId="0">
      <selection activeCell="E7" sqref="E7"/>
    </sheetView>
  </sheetViews>
  <sheetFormatPr defaultRowHeight="15.75" x14ac:dyDescent="0.25"/>
  <cols>
    <col min="1" max="1" width="32.875" customWidth="1"/>
    <col min="2" max="2" width="10.125" bestFit="1" customWidth="1"/>
    <col min="3" max="3" width="9.125" bestFit="1" customWidth="1"/>
    <col min="4" max="4" width="15.875" customWidth="1"/>
  </cols>
  <sheetData>
    <row r="1" spans="1:5" ht="16.5" thickBot="1" x14ac:dyDescent="0.3">
      <c r="A1" s="16" t="s">
        <v>4</v>
      </c>
      <c r="B1" s="16"/>
      <c r="C1" s="16"/>
      <c r="D1" s="16"/>
    </row>
    <row r="2" spans="1:5" x14ac:dyDescent="0.25">
      <c r="A2" s="9" t="s">
        <v>3</v>
      </c>
      <c r="B2" s="10" t="s">
        <v>2</v>
      </c>
      <c r="C2" s="10" t="s">
        <v>1</v>
      </c>
      <c r="D2" s="11" t="s">
        <v>0</v>
      </c>
    </row>
    <row r="3" spans="1:5" x14ac:dyDescent="0.25">
      <c r="A3" s="4">
        <v>44970</v>
      </c>
      <c r="B3" s="3">
        <v>100</v>
      </c>
      <c r="C3" s="3">
        <v>80</v>
      </c>
      <c r="D3" s="5">
        <f>B3-C3</f>
        <v>20</v>
      </c>
      <c r="E3" s="2"/>
    </row>
    <row r="4" spans="1:5" x14ac:dyDescent="0.25">
      <c r="A4" s="4">
        <v>44971</v>
      </c>
      <c r="B4" s="3">
        <v>300</v>
      </c>
      <c r="C4" s="3">
        <v>78</v>
      </c>
      <c r="D4" s="5">
        <f t="shared" ref="D4:D7" si="0">B4-C4</f>
        <v>222</v>
      </c>
    </row>
    <row r="5" spans="1:5" x14ac:dyDescent="0.25">
      <c r="A5" s="4">
        <v>44972</v>
      </c>
      <c r="B5" s="3">
        <v>211</v>
      </c>
      <c r="C5" s="3">
        <v>71</v>
      </c>
      <c r="D5" s="5">
        <f t="shared" si="0"/>
        <v>140</v>
      </c>
    </row>
    <row r="6" spans="1:5" x14ac:dyDescent="0.25">
      <c r="A6" s="4">
        <v>44973</v>
      </c>
      <c r="B6" s="3">
        <v>412</v>
      </c>
      <c r="C6" s="3">
        <v>93</v>
      </c>
      <c r="D6" s="5">
        <f t="shared" si="0"/>
        <v>319</v>
      </c>
    </row>
    <row r="7" spans="1:5" ht="16.5" thickBot="1" x14ac:dyDescent="0.3">
      <c r="A7" s="6">
        <v>44974</v>
      </c>
      <c r="B7" s="7">
        <v>270</v>
      </c>
      <c r="C7" s="7">
        <v>84</v>
      </c>
      <c r="D7" s="8">
        <f t="shared" si="0"/>
        <v>186</v>
      </c>
    </row>
    <row r="8" spans="1:5" x14ac:dyDescent="0.25">
      <c r="A8" s="1"/>
    </row>
    <row r="9" spans="1:5" x14ac:dyDescent="0.25">
      <c r="A9" s="1"/>
    </row>
    <row r="10" spans="1:5" x14ac:dyDescent="0.25">
      <c r="A10" s="1"/>
    </row>
    <row r="11" spans="1:5" x14ac:dyDescent="0.25">
      <c r="A11" s="1"/>
    </row>
    <row r="12" spans="1:5" x14ac:dyDescent="0.25">
      <c r="A12" s="1"/>
    </row>
    <row r="13" spans="1:5" x14ac:dyDescent="0.25">
      <c r="A13" s="1"/>
    </row>
    <row r="14" spans="1:5" x14ac:dyDescent="0.25">
      <c r="A14" s="1"/>
    </row>
    <row r="15" spans="1:5" x14ac:dyDescent="0.25">
      <c r="A15" s="1"/>
    </row>
    <row r="16" spans="1:5" x14ac:dyDescent="0.25">
      <c r="A16" s="1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3DBE-CFD5-4348-AEF9-BF58EE59C164}">
  <dimension ref="A1:F9"/>
  <sheetViews>
    <sheetView workbookViewId="0">
      <selection activeCell="F3" sqref="F3"/>
    </sheetView>
  </sheetViews>
  <sheetFormatPr defaultRowHeight="15.75" x14ac:dyDescent="0.25"/>
  <cols>
    <col min="1" max="1" width="21.625" customWidth="1"/>
    <col min="2" max="2" width="11.25" customWidth="1"/>
    <col min="3" max="3" width="12" bestFit="1" customWidth="1"/>
    <col min="4" max="4" width="12" customWidth="1"/>
    <col min="5" max="5" width="10.25" customWidth="1"/>
    <col min="6" max="6" width="11.25" customWidth="1"/>
  </cols>
  <sheetData>
    <row r="1" spans="1:6" ht="16.5" thickBot="1" x14ac:dyDescent="0.3">
      <c r="A1" s="22" t="s">
        <v>5</v>
      </c>
      <c r="B1" s="22"/>
      <c r="C1" s="22"/>
      <c r="D1" s="22"/>
      <c r="E1" s="22"/>
      <c r="F1" s="22"/>
    </row>
    <row r="2" spans="1:6" ht="34.5" customHeight="1" x14ac:dyDescent="0.25">
      <c r="A2" s="23" t="s">
        <v>6</v>
      </c>
      <c r="B2" s="24" t="s">
        <v>7</v>
      </c>
      <c r="C2" s="25" t="s">
        <v>2</v>
      </c>
      <c r="D2" s="25" t="s">
        <v>1</v>
      </c>
      <c r="E2" s="25" t="s">
        <v>8</v>
      </c>
      <c r="F2" s="26" t="s">
        <v>9</v>
      </c>
    </row>
    <row r="3" spans="1:6" x14ac:dyDescent="0.25">
      <c r="A3" s="19" t="s">
        <v>10</v>
      </c>
      <c r="B3" s="3">
        <v>145</v>
      </c>
      <c r="C3" s="27">
        <v>50</v>
      </c>
      <c r="D3" s="27">
        <v>21</v>
      </c>
      <c r="E3" s="27">
        <f>C3-D3</f>
        <v>29</v>
      </c>
      <c r="F3" s="29"/>
    </row>
    <row r="4" spans="1:6" x14ac:dyDescent="0.25">
      <c r="A4" s="19" t="s">
        <v>11</v>
      </c>
      <c r="B4" s="3">
        <v>119</v>
      </c>
      <c r="C4" s="27">
        <v>73</v>
      </c>
      <c r="D4" s="27">
        <v>43</v>
      </c>
      <c r="E4" s="27">
        <f t="shared" ref="E4:E9" si="0">C4-D4</f>
        <v>30</v>
      </c>
      <c r="F4" s="29"/>
    </row>
    <row r="5" spans="1:6" x14ac:dyDescent="0.25">
      <c r="A5" s="19" t="s">
        <v>12</v>
      </c>
      <c r="B5" s="3">
        <v>47</v>
      </c>
      <c r="C5" s="27">
        <v>99</v>
      </c>
      <c r="D5" s="27">
        <v>62</v>
      </c>
      <c r="E5" s="27">
        <f t="shared" si="0"/>
        <v>37</v>
      </c>
      <c r="F5" s="29"/>
    </row>
    <row r="6" spans="1:6" x14ac:dyDescent="0.25">
      <c r="A6" s="19" t="s">
        <v>13</v>
      </c>
      <c r="B6" s="3">
        <v>54</v>
      </c>
      <c r="C6" s="27">
        <v>32</v>
      </c>
      <c r="D6" s="27">
        <v>12</v>
      </c>
      <c r="E6" s="27">
        <f t="shared" si="0"/>
        <v>20</v>
      </c>
      <c r="F6" s="29"/>
    </row>
    <row r="7" spans="1:6" x14ac:dyDescent="0.25">
      <c r="A7" s="19" t="s">
        <v>14</v>
      </c>
      <c r="B7" s="3">
        <v>89</v>
      </c>
      <c r="C7" s="27">
        <v>90</v>
      </c>
      <c r="D7" s="27">
        <v>74</v>
      </c>
      <c r="E7" s="27">
        <f t="shared" si="0"/>
        <v>16</v>
      </c>
      <c r="F7" s="29"/>
    </row>
    <row r="8" spans="1:6" x14ac:dyDescent="0.25">
      <c r="A8" s="19" t="s">
        <v>15</v>
      </c>
      <c r="B8" s="3">
        <v>67</v>
      </c>
      <c r="C8" s="27">
        <v>45</v>
      </c>
      <c r="D8" s="27">
        <v>33</v>
      </c>
      <c r="E8" s="27">
        <f t="shared" si="0"/>
        <v>12</v>
      </c>
      <c r="F8" s="29"/>
    </row>
    <row r="9" spans="1:6" ht="16.5" thickBot="1" x14ac:dyDescent="0.3">
      <c r="A9" s="21" t="s">
        <v>16</v>
      </c>
      <c r="B9" s="7">
        <v>320</v>
      </c>
      <c r="C9" s="28">
        <v>13</v>
      </c>
      <c r="D9" s="28">
        <v>9</v>
      </c>
      <c r="E9" s="28">
        <f t="shared" si="0"/>
        <v>4</v>
      </c>
      <c r="F9" s="30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D088E-6F62-4630-94D0-9D51ECA867D7}">
  <dimension ref="A1:C7"/>
  <sheetViews>
    <sheetView workbookViewId="0">
      <selection activeCell="E6" sqref="E6"/>
    </sheetView>
  </sheetViews>
  <sheetFormatPr defaultRowHeight="15.75" x14ac:dyDescent="0.25"/>
  <sheetData>
    <row r="1" spans="1:3" x14ac:dyDescent="0.25">
      <c r="A1" s="12">
        <v>0.5</v>
      </c>
      <c r="C1" s="14">
        <v>5.0000000000000001E-3</v>
      </c>
    </row>
    <row r="2" spans="1:3" x14ac:dyDescent="0.25">
      <c r="A2" s="12">
        <v>0.55000000000000004</v>
      </c>
      <c r="C2" s="14">
        <v>0.01</v>
      </c>
    </row>
    <row r="3" spans="1:3" x14ac:dyDescent="0.25">
      <c r="A3" s="12">
        <v>1.05</v>
      </c>
      <c r="C3" s="15">
        <v>1.0500000000000001E-2</v>
      </c>
    </row>
    <row r="4" spans="1:3" x14ac:dyDescent="0.25">
      <c r="A4" s="12">
        <v>1.5</v>
      </c>
      <c r="C4" s="15">
        <v>1.4999999999999999E-2</v>
      </c>
    </row>
    <row r="5" spans="1:3" x14ac:dyDescent="0.25">
      <c r="A5" s="12">
        <v>1000</v>
      </c>
      <c r="C5" s="13">
        <v>0.5</v>
      </c>
    </row>
    <row r="6" spans="1:3" x14ac:dyDescent="0.25">
      <c r="A6" s="12">
        <v>1000.05</v>
      </c>
      <c r="C6" s="13">
        <v>1</v>
      </c>
    </row>
    <row r="7" spans="1:3" x14ac:dyDescent="0.25">
      <c r="A7" s="12">
        <v>25636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FDFC-98F2-40D6-A348-1B665E38FF0F}">
  <dimension ref="A1:D28"/>
  <sheetViews>
    <sheetView tabSelected="1" topLeftCell="A12" workbookViewId="0">
      <selection activeCell="K26" sqref="K26"/>
    </sheetView>
  </sheetViews>
  <sheetFormatPr defaultRowHeight="15.75" x14ac:dyDescent="0.25"/>
  <cols>
    <col min="1" max="1" width="20" bestFit="1" customWidth="1"/>
    <col min="2" max="2" width="12" bestFit="1" customWidth="1"/>
    <col min="3" max="3" width="15.375" customWidth="1"/>
    <col min="4" max="4" width="12.625" bestFit="1" customWidth="1"/>
  </cols>
  <sheetData>
    <row r="1" spans="1:3" ht="31.5" x14ac:dyDescent="0.25">
      <c r="A1" s="31" t="s">
        <v>17</v>
      </c>
      <c r="B1" s="31" t="s">
        <v>18</v>
      </c>
      <c r="C1" t="s">
        <v>19</v>
      </c>
    </row>
    <row r="2" spans="1:3" x14ac:dyDescent="0.25">
      <c r="A2" t="s">
        <v>20</v>
      </c>
      <c r="B2" t="s">
        <v>21</v>
      </c>
      <c r="C2">
        <v>438</v>
      </c>
    </row>
    <row r="3" spans="1:3" x14ac:dyDescent="0.25">
      <c r="A3" t="s">
        <v>20</v>
      </c>
      <c r="B3" t="s">
        <v>22</v>
      </c>
      <c r="C3">
        <v>1020</v>
      </c>
    </row>
    <row r="4" spans="1:3" x14ac:dyDescent="0.25">
      <c r="A4" t="s">
        <v>20</v>
      </c>
      <c r="B4" t="s">
        <v>23</v>
      </c>
      <c r="C4">
        <v>1795</v>
      </c>
    </row>
    <row r="5" spans="1:3" x14ac:dyDescent="0.25">
      <c r="A5" t="s">
        <v>21</v>
      </c>
      <c r="B5" t="s">
        <v>22</v>
      </c>
      <c r="C5">
        <v>1148</v>
      </c>
    </row>
    <row r="6" spans="1:3" x14ac:dyDescent="0.25">
      <c r="A6" t="s">
        <v>21</v>
      </c>
      <c r="B6" t="s">
        <v>23</v>
      </c>
      <c r="C6">
        <v>1543</v>
      </c>
    </row>
    <row r="7" spans="1:3" x14ac:dyDescent="0.25">
      <c r="A7" t="s">
        <v>22</v>
      </c>
      <c r="B7" t="s">
        <v>23</v>
      </c>
      <c r="C7">
        <v>1469</v>
      </c>
    </row>
    <row r="8" spans="1:3" x14ac:dyDescent="0.25">
      <c r="B8" t="s">
        <v>25</v>
      </c>
      <c r="C8">
        <f>SUM(C2:C7)</f>
        <v>7413</v>
      </c>
    </row>
    <row r="9" spans="1:3" x14ac:dyDescent="0.25">
      <c r="A9" s="17" t="s">
        <v>24</v>
      </c>
      <c r="B9" s="17"/>
      <c r="C9" s="17"/>
    </row>
    <row r="10" spans="1:3" x14ac:dyDescent="0.25">
      <c r="A10" t="s">
        <v>20</v>
      </c>
      <c r="B10" t="s">
        <v>21</v>
      </c>
      <c r="C10">
        <f>2*C2</f>
        <v>876</v>
      </c>
    </row>
    <row r="11" spans="1:3" x14ac:dyDescent="0.25">
      <c r="A11" t="s">
        <v>20</v>
      </c>
      <c r="B11" t="s">
        <v>23</v>
      </c>
      <c r="C11">
        <f>2*C4</f>
        <v>3590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s="33">
        <v>10</v>
      </c>
      <c r="B14" s="13">
        <v>0.1</v>
      </c>
      <c r="C14" s="34">
        <f>(A14*B14)+A14</f>
        <v>11</v>
      </c>
    </row>
    <row r="15" spans="1:3" x14ac:dyDescent="0.25">
      <c r="A15" s="33">
        <v>15</v>
      </c>
      <c r="B15" s="13">
        <v>0.2</v>
      </c>
      <c r="C15" s="34">
        <f t="shared" ref="C15:C19" si="0">(A15*B15)+A15</f>
        <v>18</v>
      </c>
    </row>
    <row r="16" spans="1:3" x14ac:dyDescent="0.25">
      <c r="A16" s="33">
        <v>20</v>
      </c>
      <c r="B16" s="32">
        <v>0.05</v>
      </c>
      <c r="C16" s="34">
        <f t="shared" si="0"/>
        <v>21</v>
      </c>
    </row>
    <row r="17" spans="1:4" x14ac:dyDescent="0.25">
      <c r="A17" s="33">
        <v>30</v>
      </c>
      <c r="B17" s="13">
        <v>0.5</v>
      </c>
      <c r="C17" s="34">
        <f t="shared" si="0"/>
        <v>45</v>
      </c>
    </row>
    <row r="18" spans="1:4" x14ac:dyDescent="0.25">
      <c r="A18" s="33">
        <v>40</v>
      </c>
      <c r="B18" s="32">
        <v>0.3</v>
      </c>
      <c r="C18" s="34">
        <f t="shared" si="0"/>
        <v>52</v>
      </c>
    </row>
    <row r="19" spans="1:4" x14ac:dyDescent="0.25">
      <c r="A19" s="33">
        <v>50</v>
      </c>
      <c r="B19" s="13">
        <v>1</v>
      </c>
      <c r="C19" s="34">
        <f t="shared" si="0"/>
        <v>100</v>
      </c>
    </row>
    <row r="21" spans="1:4" ht="16.5" thickBot="1" x14ac:dyDescent="0.3">
      <c r="A21" s="42" t="s">
        <v>36</v>
      </c>
      <c r="B21" s="42"/>
      <c r="C21" s="42"/>
    </row>
    <row r="22" spans="1:4" x14ac:dyDescent="0.25">
      <c r="A22" s="23" t="s">
        <v>37</v>
      </c>
      <c r="B22" s="25" t="s">
        <v>38</v>
      </c>
      <c r="C22" s="43" t="s">
        <v>39</v>
      </c>
    </row>
    <row r="23" spans="1:4" x14ac:dyDescent="0.25">
      <c r="A23" s="19" t="s">
        <v>40</v>
      </c>
      <c r="B23" s="18" t="s">
        <v>46</v>
      </c>
      <c r="C23" s="39">
        <v>0.1</v>
      </c>
    </row>
    <row r="24" spans="1:4" x14ac:dyDescent="0.25">
      <c r="A24" s="19" t="s">
        <v>41</v>
      </c>
      <c r="B24" s="18" t="s">
        <v>46</v>
      </c>
      <c r="C24" s="20">
        <v>1</v>
      </c>
    </row>
    <row r="25" spans="1:4" x14ac:dyDescent="0.25">
      <c r="A25" s="19" t="s">
        <v>42</v>
      </c>
      <c r="B25" s="18" t="s">
        <v>47</v>
      </c>
      <c r="C25" s="40">
        <v>10000</v>
      </c>
      <c r="D25" s="34"/>
    </row>
    <row r="26" spans="1:4" x14ac:dyDescent="0.25">
      <c r="A26" s="19" t="s">
        <v>43</v>
      </c>
      <c r="B26" s="18" t="s">
        <v>48</v>
      </c>
      <c r="C26" s="44">
        <f>12*(C25*C23)</f>
        <v>12000</v>
      </c>
    </row>
    <row r="27" spans="1:4" x14ac:dyDescent="0.25">
      <c r="A27" s="19" t="s">
        <v>44</v>
      </c>
      <c r="B27" s="38">
        <v>0.15</v>
      </c>
      <c r="C27" s="44">
        <f>C26*B27</f>
        <v>1800</v>
      </c>
    </row>
    <row r="28" spans="1:4" ht="63.75" thickBot="1" x14ac:dyDescent="0.3">
      <c r="A28" s="21" t="s">
        <v>45</v>
      </c>
      <c r="B28" s="41" t="s">
        <v>49</v>
      </c>
      <c r="C28" s="45">
        <f>C26 - C27 + C25</f>
        <v>20200</v>
      </c>
    </row>
  </sheetData>
  <mergeCells count="2">
    <mergeCell ref="A9:C9"/>
    <mergeCell ref="A21:C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8C50C-AFA1-43E3-AA93-FAE413D08E63}">
  <dimension ref="A1:D8"/>
  <sheetViews>
    <sheetView workbookViewId="0">
      <selection activeCell="A10" sqref="A10"/>
    </sheetView>
  </sheetViews>
  <sheetFormatPr defaultRowHeight="15.75" x14ac:dyDescent="0.25"/>
  <cols>
    <col min="1" max="1" width="13.625" bestFit="1" customWidth="1"/>
    <col min="2" max="4" width="10.125" bestFit="1" customWidth="1"/>
    <col min="5" max="5" width="12.5" customWidth="1"/>
  </cols>
  <sheetData>
    <row r="1" spans="1:4" ht="47.25" x14ac:dyDescent="0.25">
      <c r="C1" s="37" t="s">
        <v>29</v>
      </c>
      <c r="D1" s="37" t="s">
        <v>30</v>
      </c>
    </row>
    <row r="2" spans="1:4" x14ac:dyDescent="0.25">
      <c r="A2" s="35" t="s">
        <v>26</v>
      </c>
      <c r="B2" s="35" t="s">
        <v>28</v>
      </c>
      <c r="C2" s="36">
        <v>0.1</v>
      </c>
      <c r="D2" s="36">
        <v>0.12</v>
      </c>
    </row>
    <row r="3" spans="1:4" x14ac:dyDescent="0.25">
      <c r="A3" t="s">
        <v>27</v>
      </c>
      <c r="B3" s="33">
        <v>170</v>
      </c>
      <c r="C3" s="34">
        <f>B3-(B3*C2)</f>
        <v>153</v>
      </c>
      <c r="D3" s="34">
        <f>B3+(B3*D2)</f>
        <v>190.4</v>
      </c>
    </row>
    <row r="4" spans="1:4" x14ac:dyDescent="0.25">
      <c r="A4" t="s">
        <v>31</v>
      </c>
      <c r="B4" s="33">
        <v>4.5</v>
      </c>
      <c r="C4" s="34">
        <f>B4-(B4*C2)</f>
        <v>4.05</v>
      </c>
      <c r="D4" s="34">
        <f>B4+(B4*D2)</f>
        <v>5.04</v>
      </c>
    </row>
    <row r="7" spans="1:4" x14ac:dyDescent="0.25">
      <c r="A7" t="s">
        <v>32</v>
      </c>
    </row>
    <row r="8" spans="1:4" x14ac:dyDescent="0.25">
      <c r="A8" s="33">
        <v>680</v>
      </c>
      <c r="B8" s="33">
        <v>960</v>
      </c>
      <c r="C8" s="15">
        <f>(B8-A8)/A8</f>
        <v>0.41176470588235292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Semana 1 Mes 2</vt:lpstr>
      <vt:lpstr>Movimento de Estoque</vt:lpstr>
      <vt:lpstr>Formatação de numeros</vt:lpstr>
      <vt:lpstr>Atividade pg73 e pg81</vt:lpstr>
      <vt:lpstr>Porcentagens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>Lucas Alexandre</cp:lastModifiedBy>
  <dcterms:created xsi:type="dcterms:W3CDTF">2026-02-15T14:24:56Z</dcterms:created>
  <dcterms:modified xsi:type="dcterms:W3CDTF">2026-02-15T17:28:02Z</dcterms:modified>
</cp:coreProperties>
</file>