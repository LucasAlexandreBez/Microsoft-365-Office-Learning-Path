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Basico\"/>
    </mc:Choice>
  </mc:AlternateContent>
  <xr:revisionPtr revIDLastSave="0" documentId="13_ncr:1_{ECC16C28-A40B-445D-833B-ABF31F1032CE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Circulacao de mercadorias" sheetId="1" r:id="rId1"/>
    <sheet name="Atividades pg108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2" l="1"/>
  <c r="B14" i="2"/>
  <c r="B13" i="2"/>
  <c r="B12" i="2"/>
  <c r="D4" i="2"/>
  <c r="D5" i="2"/>
  <c r="D6" i="2"/>
  <c r="D7" i="2"/>
  <c r="D8" i="2"/>
  <c r="D3" i="2"/>
  <c r="B14" i="1"/>
  <c r="B13" i="1"/>
  <c r="B12" i="1"/>
  <c r="B11" i="1"/>
  <c r="F10" i="1"/>
  <c r="F4" i="1"/>
  <c r="F5" i="1"/>
  <c r="F6" i="1"/>
  <c r="F7" i="1"/>
  <c r="F8" i="1"/>
  <c r="F9" i="1"/>
  <c r="F3" i="1"/>
  <c r="E4" i="1"/>
  <c r="E5" i="1"/>
  <c r="E6" i="1"/>
  <c r="E7" i="1"/>
  <c r="E8" i="1"/>
  <c r="E9" i="1"/>
  <c r="E3" i="1"/>
  <c r="D9" i="2" l="1"/>
</calcChain>
</file>

<file path=xl/sharedStrings.xml><?xml version="1.0" encoding="utf-8"?>
<sst xmlns="http://schemas.openxmlformats.org/spreadsheetml/2006/main" count="35" uniqueCount="30">
  <si>
    <t>Circulação de mercadorias</t>
  </si>
  <si>
    <t>Produtos</t>
  </si>
  <si>
    <t>Valor Unitário</t>
  </si>
  <si>
    <t>Entrada</t>
  </si>
  <si>
    <t>Saída</t>
  </si>
  <si>
    <t>Estoque</t>
  </si>
  <si>
    <t>Valor no Estoque</t>
  </si>
  <si>
    <t>Camisa manga longa</t>
  </si>
  <si>
    <t>Camisa manga curta</t>
  </si>
  <si>
    <t>Camiseta regata</t>
  </si>
  <si>
    <t>Camiseta gola em V</t>
  </si>
  <si>
    <t>Camiseta gola polo</t>
  </si>
  <si>
    <t>Short</t>
  </si>
  <si>
    <t>Calça Jeans</t>
  </si>
  <si>
    <t>Total</t>
  </si>
  <si>
    <t>Media dos valores dos produtos</t>
  </si>
  <si>
    <t>Menor valor dos produtos</t>
  </si>
  <si>
    <t>Maior valor dos produtos</t>
  </si>
  <si>
    <t>Quantidade de itens a venda</t>
  </si>
  <si>
    <t>Teclado para computador</t>
  </si>
  <si>
    <t>Mouse para computadores</t>
  </si>
  <si>
    <t>Caixas acusticas</t>
  </si>
  <si>
    <t>Microfones</t>
  </si>
  <si>
    <t>Mochilas</t>
  </si>
  <si>
    <t>Capas para notebooks</t>
  </si>
  <si>
    <t>Qtd. Vendida</t>
  </si>
  <si>
    <t>Valor da Venda</t>
  </si>
  <si>
    <t>Quantidade de itens vendidos</t>
  </si>
  <si>
    <t>Valor do produto mais caro</t>
  </si>
  <si>
    <t>Valor do produto mais barato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</si>
</sst>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4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/>
    <xf numFmtId="8" fontId="0" fillId="0" borderId="1" xfId="0" applyNumberFormat="1" applyBorder="1"/>
    <xf numFmtId="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/>
    </xf>
    <xf numFmtId="0" fontId="3" fillId="0" borderId="2" xfId="0" applyFont="1" applyBorder="1"/>
    <xf numFmtId="8" fontId="0" fillId="0" borderId="2" xfId="0" applyNumberFormat="1" applyBorder="1"/>
    <xf numFmtId="0" fontId="3" fillId="0" borderId="1" xfId="0" applyFont="1" applyBorder="1" applyAlignment="1">
      <alignment horizontal="center"/>
    </xf>
    <xf numFmtId="8" fontId="0" fillId="0" borderId="2" xfId="0" applyNumberFormat="1" applyBorder="1" applyAlignment="1">
      <alignment horizontal="center" vertical="center"/>
    </xf>
  </cellXfs>
  <cellStyles count="2"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sqref="A1:F14"/>
    </sheetView>
  </sheetViews>
  <sheetFormatPr defaultRowHeight="15" x14ac:dyDescent="0.25"/>
  <cols>
    <col min="1" max="1" width="29.7109375" bestFit="1" customWidth="1"/>
    <col min="2" max="2" width="12.28515625" customWidth="1"/>
    <col min="6" max="6" width="11.7109375" bestFit="1" customWidth="1"/>
  </cols>
  <sheetData>
    <row r="1" spans="1:6" ht="23.25" x14ac:dyDescent="0.35">
      <c r="A1" s="7" t="s">
        <v>0</v>
      </c>
      <c r="B1" s="7"/>
      <c r="C1" s="7"/>
      <c r="D1" s="7"/>
      <c r="E1" s="7"/>
      <c r="F1" s="7"/>
    </row>
    <row r="2" spans="1:6" s="1" customFormat="1" ht="30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pans="1:6" x14ac:dyDescent="0.25">
      <c r="A3" s="2" t="s">
        <v>7</v>
      </c>
      <c r="B3" s="4">
        <v>145</v>
      </c>
      <c r="C3" s="5">
        <v>50</v>
      </c>
      <c r="D3" s="5">
        <v>21</v>
      </c>
      <c r="E3" s="5">
        <f>C3-D3</f>
        <v>29</v>
      </c>
      <c r="F3" s="4">
        <f>E3*B3</f>
        <v>4205</v>
      </c>
    </row>
    <row r="4" spans="1:6" x14ac:dyDescent="0.25">
      <c r="A4" s="2" t="s">
        <v>8</v>
      </c>
      <c r="B4" s="4">
        <v>119</v>
      </c>
      <c r="C4" s="5">
        <v>73</v>
      </c>
      <c r="D4" s="5">
        <v>43</v>
      </c>
      <c r="E4" s="5">
        <f t="shared" ref="E4:E9" si="0">C4-D4</f>
        <v>30</v>
      </c>
      <c r="F4" s="4">
        <f t="shared" ref="F4:F9" si="1">E4*B4</f>
        <v>3570</v>
      </c>
    </row>
    <row r="5" spans="1:6" x14ac:dyDescent="0.25">
      <c r="A5" s="2" t="s">
        <v>9</v>
      </c>
      <c r="B5" s="4">
        <v>47</v>
      </c>
      <c r="C5" s="5">
        <v>99</v>
      </c>
      <c r="D5" s="5">
        <v>62</v>
      </c>
      <c r="E5" s="5">
        <f t="shared" si="0"/>
        <v>37</v>
      </c>
      <c r="F5" s="4">
        <f t="shared" si="1"/>
        <v>1739</v>
      </c>
    </row>
    <row r="6" spans="1:6" x14ac:dyDescent="0.25">
      <c r="A6" s="2" t="s">
        <v>10</v>
      </c>
      <c r="B6" s="4">
        <v>54</v>
      </c>
      <c r="C6" s="5">
        <v>32</v>
      </c>
      <c r="D6" s="5">
        <v>12</v>
      </c>
      <c r="E6" s="5">
        <f t="shared" si="0"/>
        <v>20</v>
      </c>
      <c r="F6" s="4">
        <f t="shared" si="1"/>
        <v>1080</v>
      </c>
    </row>
    <row r="7" spans="1:6" x14ac:dyDescent="0.25">
      <c r="A7" s="2" t="s">
        <v>11</v>
      </c>
      <c r="B7" s="4">
        <v>89</v>
      </c>
      <c r="C7" s="5">
        <v>90</v>
      </c>
      <c r="D7" s="5">
        <v>74</v>
      </c>
      <c r="E7" s="5">
        <f t="shared" si="0"/>
        <v>16</v>
      </c>
      <c r="F7" s="4">
        <f t="shared" si="1"/>
        <v>1424</v>
      </c>
    </row>
    <row r="8" spans="1:6" x14ac:dyDescent="0.25">
      <c r="A8" s="2" t="s">
        <v>12</v>
      </c>
      <c r="B8" s="4">
        <v>67</v>
      </c>
      <c r="C8" s="5">
        <v>45</v>
      </c>
      <c r="D8" s="5">
        <v>33</v>
      </c>
      <c r="E8" s="5">
        <f t="shared" si="0"/>
        <v>12</v>
      </c>
      <c r="F8" s="4">
        <f t="shared" si="1"/>
        <v>804</v>
      </c>
    </row>
    <row r="9" spans="1:6" x14ac:dyDescent="0.25">
      <c r="A9" s="2" t="s">
        <v>13</v>
      </c>
      <c r="B9" s="4">
        <v>320</v>
      </c>
      <c r="C9" s="5">
        <v>13</v>
      </c>
      <c r="D9" s="5">
        <v>9</v>
      </c>
      <c r="E9" s="5">
        <f t="shared" si="0"/>
        <v>4</v>
      </c>
      <c r="F9" s="4">
        <f t="shared" si="1"/>
        <v>1280</v>
      </c>
    </row>
    <row r="10" spans="1:6" x14ac:dyDescent="0.25">
      <c r="E10" s="8" t="s">
        <v>14</v>
      </c>
      <c r="F10" s="9">
        <f>SUM(F3:F9)</f>
        <v>14102</v>
      </c>
    </row>
    <row r="11" spans="1:6" x14ac:dyDescent="0.25">
      <c r="A11" s="2" t="s">
        <v>15</v>
      </c>
      <c r="B11" s="3">
        <f>AVERAGE(B3:B9)</f>
        <v>120.14285714285714</v>
      </c>
    </row>
    <row r="12" spans="1:6" x14ac:dyDescent="0.25">
      <c r="A12" s="2" t="s">
        <v>16</v>
      </c>
      <c r="B12" s="3">
        <f>MIN(B3:B9)</f>
        <v>47</v>
      </c>
    </row>
    <row r="13" spans="1:6" x14ac:dyDescent="0.25">
      <c r="A13" s="2" t="s">
        <v>17</v>
      </c>
      <c r="B13" s="3">
        <f>MAX(B3:B9)</f>
        <v>320</v>
      </c>
    </row>
    <row r="14" spans="1:6" x14ac:dyDescent="0.25">
      <c r="A14" s="2" t="s">
        <v>18</v>
      </c>
      <c r="B14" s="2">
        <f>COUNT(B3:B9)</f>
        <v>7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2962-9C9E-4AF1-8622-52B0F10FC8E0}">
  <dimension ref="A1:D14"/>
  <sheetViews>
    <sheetView tabSelected="1" workbookViewId="0">
      <selection activeCell="D12" sqref="D12"/>
    </sheetView>
  </sheetViews>
  <sheetFormatPr defaultRowHeight="15" x14ac:dyDescent="0.25"/>
  <cols>
    <col min="1" max="1" width="29.7109375" bestFit="1" customWidth="1"/>
    <col min="2" max="2" width="17.42578125" customWidth="1"/>
    <col min="3" max="3" width="16.42578125" customWidth="1"/>
    <col min="4" max="4" width="17.42578125" customWidth="1"/>
  </cols>
  <sheetData>
    <row r="1" spans="1:4" ht="23.25" x14ac:dyDescent="0.35">
      <c r="A1" s="7" t="s">
        <v>0</v>
      </c>
      <c r="B1" s="7"/>
      <c r="C1" s="7"/>
      <c r="D1" s="7"/>
    </row>
    <row r="2" spans="1:4" ht="30" x14ac:dyDescent="0.25">
      <c r="A2" s="6" t="s">
        <v>1</v>
      </c>
      <c r="B2" s="6" t="s">
        <v>2</v>
      </c>
      <c r="C2" s="6" t="s">
        <v>25</v>
      </c>
      <c r="D2" s="6" t="s">
        <v>26</v>
      </c>
    </row>
    <row r="3" spans="1:4" x14ac:dyDescent="0.25">
      <c r="A3" s="2" t="s">
        <v>19</v>
      </c>
      <c r="B3" s="4">
        <v>145</v>
      </c>
      <c r="C3" s="5">
        <v>20</v>
      </c>
      <c r="D3" s="4">
        <f>B3*C3</f>
        <v>2900</v>
      </c>
    </row>
    <row r="4" spans="1:4" x14ac:dyDescent="0.25">
      <c r="A4" s="2" t="s">
        <v>20</v>
      </c>
      <c r="B4" s="4">
        <v>119</v>
      </c>
      <c r="C4" s="5">
        <v>37</v>
      </c>
      <c r="D4" s="4">
        <f t="shared" ref="D4:D8" si="0">B4*C4</f>
        <v>4403</v>
      </c>
    </row>
    <row r="5" spans="1:4" x14ac:dyDescent="0.25">
      <c r="A5" s="2" t="s">
        <v>21</v>
      </c>
      <c r="B5" s="4">
        <v>47</v>
      </c>
      <c r="C5" s="5">
        <v>6</v>
      </c>
      <c r="D5" s="4">
        <f t="shared" si="0"/>
        <v>282</v>
      </c>
    </row>
    <row r="6" spans="1:4" x14ac:dyDescent="0.25">
      <c r="A6" s="2" t="s">
        <v>22</v>
      </c>
      <c r="B6" s="4">
        <v>54</v>
      </c>
      <c r="C6" s="5">
        <v>4</v>
      </c>
      <c r="D6" s="4">
        <f t="shared" si="0"/>
        <v>216</v>
      </c>
    </row>
    <row r="7" spans="1:4" x14ac:dyDescent="0.25">
      <c r="A7" s="2" t="s">
        <v>23</v>
      </c>
      <c r="B7" s="4">
        <v>89</v>
      </c>
      <c r="C7" s="5">
        <v>7</v>
      </c>
      <c r="D7" s="4">
        <f t="shared" si="0"/>
        <v>623</v>
      </c>
    </row>
    <row r="8" spans="1:4" x14ac:dyDescent="0.25">
      <c r="A8" s="2" t="s">
        <v>24</v>
      </c>
      <c r="B8" s="4">
        <v>67</v>
      </c>
      <c r="C8" s="5">
        <v>8</v>
      </c>
      <c r="D8" s="4">
        <f t="shared" si="0"/>
        <v>536</v>
      </c>
    </row>
    <row r="9" spans="1:4" x14ac:dyDescent="0.25">
      <c r="A9" s="10" t="s">
        <v>14</v>
      </c>
      <c r="B9" s="10"/>
      <c r="C9" s="10"/>
      <c r="D9" s="11">
        <f>SUM(D3:D8)</f>
        <v>8960</v>
      </c>
    </row>
    <row r="11" spans="1:4" x14ac:dyDescent="0.25">
      <c r="A11" s="2" t="s">
        <v>27</v>
      </c>
      <c r="B11" s="5">
        <f>SUM(C3:C8)</f>
        <v>82</v>
      </c>
    </row>
    <row r="12" spans="1:4" x14ac:dyDescent="0.25">
      <c r="A12" s="2" t="s">
        <v>15</v>
      </c>
      <c r="B12" s="4">
        <f>AVERAGE(B3:B8)</f>
        <v>86.833333333333329</v>
      </c>
    </row>
    <row r="13" spans="1:4" x14ac:dyDescent="0.25">
      <c r="A13" s="2" t="s">
        <v>28</v>
      </c>
      <c r="B13" s="4">
        <f>MAX(B3:B8)</f>
        <v>145</v>
      </c>
    </row>
    <row r="14" spans="1:4" x14ac:dyDescent="0.25">
      <c r="A14" s="2" t="s">
        <v>29</v>
      </c>
      <c r="B14" s="4">
        <f>MIN(B3:B8)</f>
        <v>47</v>
      </c>
    </row>
  </sheetData>
  <mergeCells count="2">
    <mergeCell ref="A1:D1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Circulacao de mercadorias</vt:lpstr>
      <vt:lpstr>Atividades pg108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2026-02-15T19:53:36Z</dcterms:modified>
</cp:coreProperties>
</file>