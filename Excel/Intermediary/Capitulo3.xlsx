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Intermediario\"/>
    </mc:Choice>
  </mc:AlternateContent>
  <xr:revisionPtr revIDLastSave="0" documentId="13_ncr:1_{EFBEF3E2-CF7B-4F45-83C9-DD79A6F07C79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Compras no mercado" sheetId="1" r:id="rId1"/>
    <sheet name="Vinculo Relativo" sheetId="2" r:id="rId2"/>
    <sheet name="Vinculo Absoluto&amp;Misto" sheetId="3" r:id="rId3"/>
    <sheet name="Atividade pg53" sheetId="4" r:id="rId4"/>
  </sheets>
  <definedNames>
    <definedName name="SegmentaçãoDeDados_Produt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4" l="1"/>
  <c r="B11" i="4"/>
  <c r="B8" i="4"/>
  <c r="F8" i="3"/>
  <c r="F2" i="3"/>
  <c r="F3" i="3"/>
  <c r="F4" i="3"/>
  <c r="F5" i="3"/>
  <c r="F6" i="3"/>
  <c r="F7" i="3"/>
  <c r="E8" i="3"/>
  <c r="E7" i="3"/>
  <c r="E6" i="3"/>
  <c r="E5" i="3"/>
  <c r="E4" i="3"/>
  <c r="E3" i="3"/>
  <c r="E2" i="3"/>
  <c r="E3" i="2"/>
  <c r="E4" i="2"/>
  <c r="E5" i="2"/>
  <c r="E6" i="2"/>
  <c r="E7" i="2"/>
  <c r="E2" i="2"/>
  <c r="E8" i="1"/>
  <c r="E3" i="1"/>
  <c r="E4" i="1"/>
  <c r="E6" i="1"/>
  <c r="E2" i="1"/>
  <c r="A7" i="1"/>
  <c r="E7" i="1" s="1"/>
  <c r="A5" i="1"/>
  <c r="E5" i="1" s="1"/>
  <c r="C8" i="4" l="1"/>
  <c r="C2" i="4"/>
  <c r="C7" i="4"/>
  <c r="C4" i="4"/>
  <c r="C6" i="4"/>
  <c r="C3" i="4"/>
  <c r="C5" i="4"/>
  <c r="E9" i="1"/>
</calcChain>
</file>

<file path=xl/sharedStrings.xml><?xml version="1.0" encoding="utf-8"?>
<sst xmlns="http://schemas.openxmlformats.org/spreadsheetml/2006/main" count="51" uniqueCount="33">
  <si>
    <t>Quantidade</t>
  </si>
  <si>
    <t>Produto</t>
  </si>
  <si>
    <t>Unidade</t>
  </si>
  <si>
    <t>Valor</t>
  </si>
  <si>
    <t>arroz</t>
  </si>
  <si>
    <t>feijao</t>
  </si>
  <si>
    <t>tomates</t>
  </si>
  <si>
    <t>limoes</t>
  </si>
  <si>
    <t>laranjas</t>
  </si>
  <si>
    <t>tangerinas</t>
  </si>
  <si>
    <t>kg</t>
  </si>
  <si>
    <t>unit</t>
  </si>
  <si>
    <t>Total</t>
  </si>
  <si>
    <t>macarrao</t>
  </si>
  <si>
    <t>Responsaveis</t>
  </si>
  <si>
    <t>Gilberto</t>
  </si>
  <si>
    <t>Jose</t>
  </si>
  <si>
    <t>Carlos</t>
  </si>
  <si>
    <t>Claudia</t>
  </si>
  <si>
    <t>Renato</t>
  </si>
  <si>
    <t>Luiz Alberto</t>
  </si>
  <si>
    <t>Soma geral</t>
  </si>
  <si>
    <t>Porcentagem</t>
  </si>
  <si>
    <t>Despesas</t>
  </si>
  <si>
    <t>Percentual</t>
  </si>
  <si>
    <t>Aluguel</t>
  </si>
  <si>
    <t>Luz</t>
  </si>
  <si>
    <t>Agua</t>
  </si>
  <si>
    <t>Telefone</t>
  </si>
  <si>
    <t>Internet</t>
  </si>
  <si>
    <t>Mercado</t>
  </si>
  <si>
    <t>Rendimentos</t>
  </si>
  <si>
    <t>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</si>
</sst>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NumberFormat="1" applyFont="1"/>
    <xf numFmtId="16" fontId="0" fillId="0" borderId="0" xfId="0" applyNumberFormat="1"/>
    <xf numFmtId="0" fontId="0" fillId="0" borderId="1" xfId="0" applyBorder="1"/>
    <xf numFmtId="16" fontId="0" fillId="0" borderId="1" xfId="0" applyNumberFormat="1" applyBorder="1"/>
    <xf numFmtId="10" fontId="0" fillId="0" borderId="1" xfId="2" applyNumberFormat="1" applyFont="1" applyBorder="1"/>
    <xf numFmtId="10" fontId="0" fillId="0" borderId="0" xfId="2" applyNumberFormat="1" applyFont="1"/>
  </cellXfs>
  <cellStyles count="3">
    <cellStyle name="Moeda" xfId="1" builtinId="4"/>
    <cellStyle name="Normal" xfId="0" builtinId="0"/>
    <cellStyle name="Percentagem" xfId="2" builtinId="5"/>
  </cellStyles>
  <dxfs count="4"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228600</xdr:colOff>
      <xdr:row>0</xdr:row>
      <xdr:rowOff>28575</xdr:rowOff>
    </xdr:from>
    <xdr:to>
      <xdr:col>11</xdr:col>
      <xdr:colOff>114300</xdr:colOff>
      <xdr:row>13</xdr:row>
      <xdr:rowOff>76200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Produto">
              <a:extLst>
                <a:ext uri="{FF2B5EF4-FFF2-40B4-BE49-F238E27FC236}">
                  <a16:creationId xmlns:a16="http://schemas.microsoft.com/office/drawing/2014/main" id="{7EF4B58B-489F-4DD2-F84C-3C76FA545F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0475" y="28575"/>
              <a:ext cx="35433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As segmentações de dados de tabela não são suportadas nesta versão do Excel.
Se a forma tiver sido modificada numa versão anterior do Excel ou se o livro tiver sido guardado no Excel 2007 ou anterior, a segmentação de dados não poderá ser utilizada.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7578452E-48E0-426D-9965-8F385EB23B60}" sourceName="Produ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" xr10:uid="{D0F8B480-A76C-4374-AA55-857F31DC6E14}" cache="SegmentaçãoDeDados_Produto" caption="Produto" style="SlicerStyleLight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E5799-8736-4279-A3CE-10C6F6345BD2}" name="Tabela1" displayName="Tabela1" ref="A1:E9" totalsRowCount="1">
  <autoFilter ref="A1:E8" xr:uid="{361E5799-8736-4279-A3CE-10C6F6345BD2}"/>
  <tableColumns count="5">
    <tableColumn id="1" xr3:uid="{B84DC764-C5D2-49C3-8A32-78F0739ADF8C}" name="Quantidade" totalsRowLabel="Total"/>
    <tableColumn id="2" xr3:uid="{F40AC8DD-E6E9-40CB-9065-B9D7DB272630}" name="Produto"/>
    <tableColumn id="3" xr3:uid="{BBD07F33-FA27-4DF5-AA19-029D4E15A776}" name="Unidade"/>
    <tableColumn id="4" xr3:uid="{87379415-6E7A-4977-B1E5-2052434F199A}" name="Valor" dataDxfId="3" totalsRowDxfId="1" dataCellStyle="Moeda"/>
    <tableColumn id="5" xr3:uid="{08F8CB38-6B6D-4019-A015-B20A9D241627}" name="Total" totalsRowFunction="sum" dataDxfId="2" totalsRowDxfId="0">
      <calculatedColumnFormula>A2*D2</calculatedColumnFormula>
    </tableColumn>
  </tableColumns>
  <tableStyleInfo name="TableStyleLight10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F17" sqref="F17"/>
    </sheetView>
  </sheetViews>
  <sheetFormatPr defaultRowHeight="15" x14ac:dyDescent="0.25"/>
  <cols>
    <col min="1" max="1" width="13.5703125" customWidth="1"/>
    <col min="2" max="2" width="10.28515625" bestFit="1" customWidth="1"/>
    <col min="3" max="3" width="10.5703125" customWidth="1"/>
    <col min="4" max="5" width="9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25">
      <c r="A2">
        <v>3</v>
      </c>
      <c r="B2" t="s">
        <v>4</v>
      </c>
      <c r="C2" t="s">
        <v>10</v>
      </c>
      <c r="D2" s="1">
        <v>9.5</v>
      </c>
      <c r="E2" s="2">
        <f>A2*D2</f>
        <v>28.5</v>
      </c>
    </row>
    <row r="3" spans="1:5" x14ac:dyDescent="0.25">
      <c r="A3">
        <v>2</v>
      </c>
      <c r="B3" t="s">
        <v>5</v>
      </c>
      <c r="C3" t="s">
        <v>10</v>
      </c>
      <c r="D3" s="1">
        <v>16.5</v>
      </c>
      <c r="E3" s="2">
        <f t="shared" ref="E3:E7" si="0">A3*D3</f>
        <v>33</v>
      </c>
    </row>
    <row r="4" spans="1:5" x14ac:dyDescent="0.25">
      <c r="A4">
        <v>3</v>
      </c>
      <c r="B4" t="s">
        <v>6</v>
      </c>
      <c r="C4" t="s">
        <v>11</v>
      </c>
      <c r="D4" s="1">
        <v>1.1000000000000001</v>
      </c>
      <c r="E4" s="2">
        <f t="shared" si="0"/>
        <v>3.3000000000000003</v>
      </c>
    </row>
    <row r="5" spans="1:5" x14ac:dyDescent="0.25">
      <c r="A5">
        <f>A4*2</f>
        <v>6</v>
      </c>
      <c r="B5" t="s">
        <v>7</v>
      </c>
      <c r="C5" t="s">
        <v>11</v>
      </c>
      <c r="D5" s="1">
        <v>0.7</v>
      </c>
      <c r="E5" s="2">
        <f t="shared" si="0"/>
        <v>4.1999999999999993</v>
      </c>
    </row>
    <row r="6" spans="1:5" x14ac:dyDescent="0.25">
      <c r="A6">
        <v>20</v>
      </c>
      <c r="B6" t="s">
        <v>8</v>
      </c>
      <c r="C6" t="s">
        <v>11</v>
      </c>
      <c r="D6" s="1">
        <v>0.4</v>
      </c>
      <c r="E6" s="2">
        <f t="shared" si="0"/>
        <v>8</v>
      </c>
    </row>
    <row r="7" spans="1:5" x14ac:dyDescent="0.25">
      <c r="A7">
        <f>A6/4</f>
        <v>5</v>
      </c>
      <c r="B7" t="s">
        <v>9</v>
      </c>
      <c r="C7" t="s">
        <v>11</v>
      </c>
      <c r="D7" s="1">
        <v>0.37</v>
      </c>
      <c r="E7" s="2">
        <f t="shared" si="0"/>
        <v>1.85</v>
      </c>
    </row>
    <row r="8" spans="1:5" x14ac:dyDescent="0.25">
      <c r="A8">
        <v>2</v>
      </c>
      <c r="B8" t="s">
        <v>13</v>
      </c>
      <c r="C8" t="s">
        <v>11</v>
      </c>
      <c r="D8" s="1">
        <v>4.7</v>
      </c>
      <c r="E8" s="2">
        <f>A8*D8</f>
        <v>9.4</v>
      </c>
    </row>
    <row r="9" spans="1:5" x14ac:dyDescent="0.25">
      <c r="A9" t="s">
        <v>12</v>
      </c>
      <c r="D9" s="3"/>
      <c r="E9" s="2">
        <f>SUBTOTAL(109,Tabela1[Total])</f>
        <v>88.25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A5B1-A5FB-4C5E-A8A0-55BC2863C880}">
  <dimension ref="A1:E7"/>
  <sheetViews>
    <sheetView workbookViewId="0">
      <selection sqref="A1:E7"/>
    </sheetView>
  </sheetViews>
  <sheetFormatPr defaultRowHeight="15" x14ac:dyDescent="0.25"/>
  <cols>
    <col min="1" max="1" width="13.140625" bestFit="1" customWidth="1"/>
  </cols>
  <sheetData>
    <row r="1" spans="1:5" x14ac:dyDescent="0.25">
      <c r="A1" t="s">
        <v>14</v>
      </c>
      <c r="B1" s="4">
        <v>46137</v>
      </c>
      <c r="C1" s="4">
        <v>46138</v>
      </c>
      <c r="D1" s="4">
        <v>46139</v>
      </c>
      <c r="E1" t="s">
        <v>12</v>
      </c>
    </row>
    <row r="2" spans="1:5" x14ac:dyDescent="0.25">
      <c r="A2" t="s">
        <v>15</v>
      </c>
      <c r="B2">
        <v>60</v>
      </c>
      <c r="C2">
        <v>40</v>
      </c>
      <c r="D2">
        <v>45</v>
      </c>
      <c r="E2">
        <f>SUM(B2:D2)</f>
        <v>145</v>
      </c>
    </row>
    <row r="3" spans="1:5" x14ac:dyDescent="0.25">
      <c r="A3" t="s">
        <v>16</v>
      </c>
      <c r="B3">
        <v>35</v>
      </c>
      <c r="C3">
        <v>42</v>
      </c>
      <c r="D3">
        <v>29</v>
      </c>
      <c r="E3">
        <f t="shared" ref="E3:E7" si="0">SUM(B3:D3)</f>
        <v>106</v>
      </c>
    </row>
    <row r="4" spans="1:5" x14ac:dyDescent="0.25">
      <c r="A4" t="s">
        <v>17</v>
      </c>
      <c r="B4">
        <v>43</v>
      </c>
      <c r="C4">
        <v>37</v>
      </c>
      <c r="D4">
        <v>51</v>
      </c>
      <c r="E4">
        <f t="shared" si="0"/>
        <v>131</v>
      </c>
    </row>
    <row r="5" spans="1:5" x14ac:dyDescent="0.25">
      <c r="A5" t="s">
        <v>18</v>
      </c>
      <c r="B5">
        <v>43</v>
      </c>
      <c r="C5">
        <v>26</v>
      </c>
      <c r="D5">
        <v>53</v>
      </c>
      <c r="E5">
        <f t="shared" si="0"/>
        <v>122</v>
      </c>
    </row>
    <row r="6" spans="1:5" x14ac:dyDescent="0.25">
      <c r="A6" t="s">
        <v>19</v>
      </c>
      <c r="B6">
        <v>28</v>
      </c>
      <c r="C6">
        <v>49</v>
      </c>
      <c r="D6">
        <v>35</v>
      </c>
      <c r="E6">
        <f t="shared" si="0"/>
        <v>112</v>
      </c>
    </row>
    <row r="7" spans="1:5" x14ac:dyDescent="0.25">
      <c r="A7" t="s">
        <v>20</v>
      </c>
      <c r="B7">
        <v>46</v>
      </c>
      <c r="C7">
        <v>44</v>
      </c>
      <c r="D7">
        <v>93</v>
      </c>
      <c r="E7">
        <f t="shared" si="0"/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E5F9-4F17-4BCB-9093-DF743A2F1F07}">
  <dimension ref="A1:F8"/>
  <sheetViews>
    <sheetView workbookViewId="0">
      <selection activeCell="F12" sqref="F12"/>
    </sheetView>
  </sheetViews>
  <sheetFormatPr defaultRowHeight="15" x14ac:dyDescent="0.25"/>
  <cols>
    <col min="1" max="1" width="13.140625" bestFit="1" customWidth="1"/>
    <col min="4" max="4" width="10.7109375" bestFit="1" customWidth="1"/>
    <col min="6" max="6" width="12.7109375" bestFit="1" customWidth="1"/>
  </cols>
  <sheetData>
    <row r="1" spans="1:6" x14ac:dyDescent="0.25">
      <c r="A1" s="5" t="s">
        <v>14</v>
      </c>
      <c r="B1" s="6">
        <v>46137</v>
      </c>
      <c r="C1" s="6">
        <v>46138</v>
      </c>
      <c r="D1" s="6">
        <v>46139</v>
      </c>
      <c r="E1" s="5" t="s">
        <v>12</v>
      </c>
      <c r="F1" s="5" t="s">
        <v>22</v>
      </c>
    </row>
    <row r="2" spans="1:6" x14ac:dyDescent="0.25">
      <c r="A2" s="5" t="s">
        <v>15</v>
      </c>
      <c r="B2" s="5">
        <v>60</v>
      </c>
      <c r="C2" s="5">
        <v>40</v>
      </c>
      <c r="D2" s="5">
        <v>45</v>
      </c>
      <c r="E2" s="5">
        <f>SUM(B2:D2)</f>
        <v>145</v>
      </c>
      <c r="F2" s="7">
        <f>E2/$E$8</f>
        <v>0.18147684605757197</v>
      </c>
    </row>
    <row r="3" spans="1:6" x14ac:dyDescent="0.25">
      <c r="A3" s="5" t="s">
        <v>16</v>
      </c>
      <c r="B3" s="5">
        <v>35</v>
      </c>
      <c r="C3" s="5">
        <v>42</v>
      </c>
      <c r="D3" s="5">
        <v>29</v>
      </c>
      <c r="E3" s="5">
        <f t="shared" ref="E3:E7" si="0">SUM(B3:D3)</f>
        <v>106</v>
      </c>
      <c r="F3" s="7">
        <f t="shared" ref="F3:F8" si="1">E3/$E$8</f>
        <v>0.13266583229036297</v>
      </c>
    </row>
    <row r="4" spans="1:6" x14ac:dyDescent="0.25">
      <c r="A4" s="5" t="s">
        <v>17</v>
      </c>
      <c r="B4" s="5">
        <v>43</v>
      </c>
      <c r="C4" s="5">
        <v>37</v>
      </c>
      <c r="D4" s="5">
        <v>51</v>
      </c>
      <c r="E4" s="5">
        <f t="shared" si="0"/>
        <v>131</v>
      </c>
      <c r="F4" s="7">
        <f t="shared" si="1"/>
        <v>0.16395494367959951</v>
      </c>
    </row>
    <row r="5" spans="1:6" x14ac:dyDescent="0.25">
      <c r="A5" s="5" t="s">
        <v>18</v>
      </c>
      <c r="B5" s="5">
        <v>43</v>
      </c>
      <c r="C5" s="5">
        <v>26</v>
      </c>
      <c r="D5" s="5">
        <v>53</v>
      </c>
      <c r="E5" s="5">
        <f t="shared" si="0"/>
        <v>122</v>
      </c>
      <c r="F5" s="7">
        <f t="shared" si="1"/>
        <v>0.15269086357947434</v>
      </c>
    </row>
    <row r="6" spans="1:6" x14ac:dyDescent="0.25">
      <c r="A6" s="5" t="s">
        <v>19</v>
      </c>
      <c r="B6" s="5">
        <v>28</v>
      </c>
      <c r="C6" s="5">
        <v>49</v>
      </c>
      <c r="D6" s="5">
        <v>35</v>
      </c>
      <c r="E6" s="5">
        <f t="shared" si="0"/>
        <v>112</v>
      </c>
      <c r="F6" s="7">
        <f t="shared" si="1"/>
        <v>0.14017521902377972</v>
      </c>
    </row>
    <row r="7" spans="1:6" x14ac:dyDescent="0.25">
      <c r="A7" s="5" t="s">
        <v>20</v>
      </c>
      <c r="B7" s="5">
        <v>46</v>
      </c>
      <c r="C7" s="5">
        <v>44</v>
      </c>
      <c r="D7" s="5">
        <v>93</v>
      </c>
      <c r="E7" s="5">
        <f t="shared" si="0"/>
        <v>183</v>
      </c>
      <c r="F7" s="7">
        <f t="shared" si="1"/>
        <v>0.22903629536921152</v>
      </c>
    </row>
    <row r="8" spans="1:6" x14ac:dyDescent="0.25">
      <c r="D8" s="5" t="s">
        <v>21</v>
      </c>
      <c r="E8" s="5">
        <f>SUM(E2:E7)</f>
        <v>799</v>
      </c>
      <c r="F8" s="7">
        <f>E8/$E$8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EC12-76FA-4F35-9BF0-831398D5863A}">
  <dimension ref="A1:C12"/>
  <sheetViews>
    <sheetView tabSelected="1" workbookViewId="0">
      <selection activeCell="B12" sqref="B12"/>
    </sheetView>
  </sheetViews>
  <sheetFormatPr defaultRowHeight="15" x14ac:dyDescent="0.25"/>
  <cols>
    <col min="1" max="1" width="12.85546875" bestFit="1" customWidth="1"/>
    <col min="2" max="2" width="12.140625" bestFit="1" customWidth="1"/>
    <col min="3" max="3" width="10.5703125" bestFit="1" customWidth="1"/>
  </cols>
  <sheetData>
    <row r="1" spans="1:3" x14ac:dyDescent="0.25">
      <c r="A1" t="s">
        <v>23</v>
      </c>
      <c r="B1" t="s">
        <v>3</v>
      </c>
      <c r="C1" t="s">
        <v>24</v>
      </c>
    </row>
    <row r="2" spans="1:3" x14ac:dyDescent="0.25">
      <c r="A2" t="s">
        <v>25</v>
      </c>
      <c r="B2" s="1">
        <v>1000</v>
      </c>
      <c r="C2" s="8">
        <f>B2/$B$8</f>
        <v>0.34129692832764508</v>
      </c>
    </row>
    <row r="3" spans="1:3" x14ac:dyDescent="0.25">
      <c r="A3" t="s">
        <v>26</v>
      </c>
      <c r="B3" s="1">
        <v>200</v>
      </c>
      <c r="C3" s="8">
        <f>B3/$B$8</f>
        <v>6.8259385665529013E-2</v>
      </c>
    </row>
    <row r="4" spans="1:3" x14ac:dyDescent="0.25">
      <c r="A4" t="s">
        <v>27</v>
      </c>
      <c r="B4" s="1">
        <v>150</v>
      </c>
      <c r="C4" s="8">
        <f>B4/$B$8</f>
        <v>5.1194539249146756E-2</v>
      </c>
    </row>
    <row r="5" spans="1:3" x14ac:dyDescent="0.25">
      <c r="A5" t="s">
        <v>28</v>
      </c>
      <c r="B5" s="1">
        <v>80</v>
      </c>
      <c r="C5" s="8">
        <f>B5/$B$8</f>
        <v>2.7303754266211604E-2</v>
      </c>
    </row>
    <row r="6" spans="1:3" x14ac:dyDescent="0.25">
      <c r="A6" t="s">
        <v>29</v>
      </c>
      <c r="B6" s="1">
        <v>100</v>
      </c>
      <c r="C6" s="8">
        <f>B6/$B$8</f>
        <v>3.4129692832764506E-2</v>
      </c>
    </row>
    <row r="7" spans="1:3" x14ac:dyDescent="0.25">
      <c r="A7" t="s">
        <v>30</v>
      </c>
      <c r="B7" s="1">
        <v>1400</v>
      </c>
      <c r="C7" s="8">
        <f>B7/$B$8</f>
        <v>0.47781569965870307</v>
      </c>
    </row>
    <row r="8" spans="1:3" x14ac:dyDescent="0.25">
      <c r="A8" t="s">
        <v>12</v>
      </c>
      <c r="B8" s="2">
        <f>SUM(B2:B7)</f>
        <v>2930</v>
      </c>
      <c r="C8" s="8">
        <f>B8/$B$8</f>
        <v>1</v>
      </c>
    </row>
    <row r="10" spans="1:3" x14ac:dyDescent="0.25">
      <c r="A10" t="s">
        <v>31</v>
      </c>
      <c r="B10" s="1">
        <v>4000</v>
      </c>
    </row>
    <row r="11" spans="1:3" x14ac:dyDescent="0.25">
      <c r="A11" t="s">
        <v>32</v>
      </c>
      <c r="B11" s="2">
        <f>B10-B8</f>
        <v>1070</v>
      </c>
    </row>
    <row r="12" spans="1:3" x14ac:dyDescent="0.25">
      <c r="A12" t="s">
        <v>24</v>
      </c>
      <c r="B12" s="8">
        <f>B11/B10</f>
        <v>0.26750000000000002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Compras no mercado</vt:lpstr>
      <vt:lpstr>Vinculo Relativo</vt:lpstr>
      <vt:lpstr>Vinculo Absoluto&amp;Misto</vt:lpstr>
      <vt:lpstr>Atividade pg53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2026-02-16T22:17:34Z</dcterms:modified>
</cp:coreProperties>
</file>