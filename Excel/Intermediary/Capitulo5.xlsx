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Intermediario\"/>
    </mc:Choice>
  </mc:AlternateContent>
  <xr:revisionPtr revIDLastSave="0" documentId="13_ncr:1_{3A09F984-DF7A-4145-848A-6FBB2AB6D190}" xr6:coauthVersionLast="47" xr6:coauthVersionMax="47" xr10:uidLastSave="{00000000-0000-0000-0000-000000000000}"/>
  <bookViews>
    <workbookView xWindow="-120" yWindow="-120" windowWidth="21840" windowHeight="13140" activeTab="2" xr2:uid="{00000000-000D-0000-FFFF-FFFF00000000}"/>
  </bookViews>
  <sheets>
    <sheet name="Lista personalizadas" sheetId="1" r:id="rId1"/>
    <sheet name="Nomear Celulas" sheetId="2" r:id="rId2"/>
    <sheet name="Cabeçalhos como nomes em calcul" sheetId="3" r:id="rId3"/>
  </sheets>
  <definedNames>
    <definedName name="Almoço">'Cabeçalhos como nomes em calcul'!$C$3:$C$9</definedName>
    <definedName name="Batata">'Nomear Celulas'!$B$1</definedName>
    <definedName name="Café_da_manha">'Cabeçalhos como nomes em calcul'!$B$3:$B$9</definedName>
    <definedName name="Dias">'Cabeçalhos como nomes em calcul'!$B$3:$D$9</definedName>
    <definedName name="Domingo">'Cabeçalhos como nomes em calcul'!$B$3:$D$3</definedName>
    <definedName name="Jantar">'Cabeçalhos como nomes em calcul'!$D$3:$D$9</definedName>
    <definedName name="Quarta_feira">'Cabeçalhos como nomes em calcul'!$B$6:$D$6</definedName>
    <definedName name="Quinta_feira">'Cabeçalhos como nomes em calcul'!$B$7:$D$7</definedName>
    <definedName name="Sábado">'Cabeçalhos como nomes em calcul'!$B$9:$D$9</definedName>
    <definedName name="Segunda_feira">'Cabeçalhos como nomes em calcul'!$B$4:$D$4</definedName>
    <definedName name="Sexta_feira">'Cabeçalhos como nomes em calcul'!$B$8:$D$8</definedName>
    <definedName name="Terça_feira">'Cabeçalhos como nomes em calcul'!$B$5:$D$5</definedName>
    <definedName name="Tomate">'Nomear Celulas'!$A$1</definedName>
    <definedName name="Total">'Nomear Celulas'!$B$7</definedName>
    <definedName name="Valores">'Nomear Celulas'!$A$3:$B$6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 a="1"/>
  <c r="E10" i="3" s="1"/>
  <c r="E9" i="3"/>
  <c r="E8" i="3"/>
  <c r="E7" i="3"/>
  <c r="E6" i="3"/>
  <c r="E5" i="3"/>
  <c r="E4" i="3"/>
  <c r="E3" i="3"/>
  <c r="B8" i="2"/>
  <c r="B7" i="2"/>
  <c r="C1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<sst xmlns="http://schemas.openxmlformats.org/spreadsheetml/2006/main" count="55" uniqueCount="54">
  <si>
    <t>domingo</t>
  </si>
  <si>
    <t>janeiro</t>
  </si>
  <si>
    <t>segunda-feira</t>
  </si>
  <si>
    <t>fevereiro</t>
  </si>
  <si>
    <t>terça-feira</t>
  </si>
  <si>
    <t>março</t>
  </si>
  <si>
    <t>quarta-feira</t>
  </si>
  <si>
    <t>abril</t>
  </si>
  <si>
    <t>quinta-feira</t>
  </si>
  <si>
    <t>maio</t>
  </si>
  <si>
    <t>sexta-feira</t>
  </si>
  <si>
    <t>junho</t>
  </si>
  <si>
    <t>sábado</t>
  </si>
  <si>
    <t>julho</t>
  </si>
  <si>
    <t>agosto</t>
  </si>
  <si>
    <t>setembro</t>
  </si>
  <si>
    <t>outubro</t>
  </si>
  <si>
    <t>novembro</t>
  </si>
  <si>
    <t>dezembro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</si>
  <si>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</si>
  <si>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</si>
  <si>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</si>
  <si>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</si>
  <si>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</si>
  <si>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</si>
  <si>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</si>
  <si>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</si>
  <si>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</si>
  <si>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</si>
  <si>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</si>
  <si>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</si>
  <si>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São Paulo</t>
  </si>
  <si>
    <t>Rio de Janeiro</t>
  </si>
  <si>
    <t>Brasilia</t>
  </si>
  <si>
    <t>Salvador</t>
  </si>
  <si>
    <t>Fortaleza</t>
  </si>
  <si>
    <t>Belo Horizonte</t>
  </si>
  <si>
    <t>Manaus</t>
  </si>
  <si>
    <t>Curitiba</t>
  </si>
  <si>
    <t>Recife</t>
  </si>
  <si>
    <t>Porto Alegre</t>
  </si>
  <si>
    <t>Despesas com alimentação</t>
  </si>
  <si>
    <t>Dias</t>
  </si>
  <si>
    <t>Almoço</t>
  </si>
  <si>
    <t>Jantar</t>
  </si>
  <si>
    <t>Café da manha</t>
  </si>
  <si>
    <t>Total</t>
  </si>
  <si>
    <t>Domingo</t>
  </si>
  <si>
    <t>Segunda-feira</t>
  </si>
  <si>
    <t>Terça-feira</t>
  </si>
  <si>
    <t>Quarta-feira</t>
  </si>
  <si>
    <t>Quinta-feira</t>
  </si>
  <si>
    <t>Sexta-feira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</si>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</sst>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0" fontId="2" fillId="0" borderId="3" xfId="2" applyBorder="1" applyAlignment="1">
      <alignment horizontal="center"/>
    </xf>
    <xf numFmtId="0" fontId="2" fillId="0" borderId="4" xfId="2" applyBorder="1" applyAlignment="1">
      <alignment horizontal="center"/>
    </xf>
    <xf numFmtId="0" fontId="2" fillId="0" borderId="5" xfId="2" applyBorder="1" applyAlignment="1">
      <alignment horizontal="center"/>
    </xf>
    <xf numFmtId="0" fontId="3" fillId="2" borderId="2" xfId="3" applyBorder="1" applyAlignment="1">
      <alignment horizontal="center" vertical="center"/>
    </xf>
    <xf numFmtId="0" fontId="3" fillId="2" borderId="2" xfId="3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</cellXfs>
  <cellStyles count="4">
    <cellStyle name="Cor2" xfId="3" builtinId="33"/>
    <cellStyle name="Moeda" xfId="1" builtinId="4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G2" sqref="G2"/>
    </sheetView>
  </sheetViews>
  <sheetFormatPr defaultRowHeight="15" x14ac:dyDescent="0.25"/>
  <cols>
    <col min="1" max="1" width="13.42578125" bestFit="1" customWidth="1"/>
    <col min="2" max="2" width="13.42578125" customWidth="1"/>
    <col min="3" max="3" width="13.28515625" customWidth="1"/>
    <col min="4" max="4" width="8.5703125" customWidth="1"/>
    <col min="5" max="5" width="7.28515625" customWidth="1"/>
    <col min="6" max="6" width="18.140625" bestFit="1" customWidth="1"/>
    <col min="7" max="7" width="20.140625" customWidth="1"/>
  </cols>
  <sheetData>
    <row r="1" spans="1:7" x14ac:dyDescent="0.25">
      <c r="A1" t="s">
        <v>0</v>
      </c>
      <c r="B1" t="s">
        <v>1</v>
      </c>
      <c r="C1" s="1">
        <v>45031</v>
      </c>
      <c r="D1" s="2">
        <v>0.33333333333333331</v>
      </c>
      <c r="E1">
        <v>1</v>
      </c>
      <c r="F1" t="s">
        <v>19</v>
      </c>
      <c r="G1" t="s">
        <v>31</v>
      </c>
    </row>
    <row r="2" spans="1:7" x14ac:dyDescent="0.25">
      <c r="A2" t="s">
        <v>2</v>
      </c>
      <c r="B2" t="s">
        <v>3</v>
      </c>
      <c r="C2" s="1">
        <v>45032</v>
      </c>
      <c r="D2" s="2">
        <v>0.375</v>
      </c>
      <c r="E2">
        <v>2</v>
      </c>
      <c r="F2" t="s">
        <v>20</v>
      </c>
      <c r="G2" t="s">
        <v>32</v>
      </c>
    </row>
    <row r="3" spans="1:7" x14ac:dyDescent="0.25">
      <c r="A3" t="s">
        <v>4</v>
      </c>
      <c r="B3" t="s">
        <v>5</v>
      </c>
      <c r="C3" s="1">
        <v>45033</v>
      </c>
      <c r="D3" s="2">
        <v>0.41666666666666702</v>
      </c>
      <c r="E3">
        <v>3</v>
      </c>
      <c r="F3" t="s">
        <v>21</v>
      </c>
      <c r="G3" t="s">
        <v>33</v>
      </c>
    </row>
    <row r="4" spans="1:7" x14ac:dyDescent="0.25">
      <c r="A4" t="s">
        <v>6</v>
      </c>
      <c r="B4" t="s">
        <v>7</v>
      </c>
      <c r="C4" s="1">
        <v>45034</v>
      </c>
      <c r="D4" s="2">
        <v>0.45833333333333298</v>
      </c>
      <c r="E4">
        <v>4</v>
      </c>
      <c r="F4" t="s">
        <v>22</v>
      </c>
      <c r="G4" t="s">
        <v>34</v>
      </c>
    </row>
    <row r="5" spans="1:7" x14ac:dyDescent="0.25">
      <c r="A5" t="s">
        <v>8</v>
      </c>
      <c r="B5" t="s">
        <v>9</v>
      </c>
      <c r="C5" s="1">
        <v>45035</v>
      </c>
      <c r="D5" s="2">
        <v>0.5</v>
      </c>
      <c r="E5">
        <v>5</v>
      </c>
      <c r="F5" t="s">
        <v>23</v>
      </c>
      <c r="G5" t="s">
        <v>35</v>
      </c>
    </row>
    <row r="6" spans="1:7" x14ac:dyDescent="0.25">
      <c r="A6" t="s">
        <v>10</v>
      </c>
      <c r="B6" t="s">
        <v>11</v>
      </c>
      <c r="C6" s="1">
        <v>45036</v>
      </c>
      <c r="D6" s="2">
        <v>0.54166666666666696</v>
      </c>
      <c r="E6">
        <v>6</v>
      </c>
      <c r="F6" t="s">
        <v>24</v>
      </c>
      <c r="G6" t="s">
        <v>36</v>
      </c>
    </row>
    <row r="7" spans="1:7" x14ac:dyDescent="0.25">
      <c r="A7" t="s">
        <v>12</v>
      </c>
      <c r="B7" t="s">
        <v>13</v>
      </c>
      <c r="C7" s="1">
        <v>45037</v>
      </c>
      <c r="D7" s="2">
        <v>0.58333333333333304</v>
      </c>
      <c r="E7">
        <v>7</v>
      </c>
      <c r="F7" t="s">
        <v>25</v>
      </c>
      <c r="G7" t="s">
        <v>37</v>
      </c>
    </row>
    <row r="8" spans="1:7" x14ac:dyDescent="0.25">
      <c r="B8" t="s">
        <v>14</v>
      </c>
      <c r="C8" s="1">
        <v>45038</v>
      </c>
      <c r="D8" s="2">
        <v>0.625</v>
      </c>
      <c r="E8">
        <v>8</v>
      </c>
      <c r="F8" t="s">
        <v>26</v>
      </c>
      <c r="G8" t="s">
        <v>38</v>
      </c>
    </row>
    <row r="9" spans="1:7" x14ac:dyDescent="0.25">
      <c r="B9" t="s">
        <v>15</v>
      </c>
      <c r="C9" s="1">
        <v>45039</v>
      </c>
      <c r="D9" s="2">
        <v>0.66666666666666696</v>
      </c>
      <c r="E9">
        <v>9</v>
      </c>
      <c r="F9" t="s">
        <v>27</v>
      </c>
      <c r="G9" t="s">
        <v>39</v>
      </c>
    </row>
    <row r="10" spans="1:7" x14ac:dyDescent="0.25">
      <c r="B10" t="s">
        <v>16</v>
      </c>
      <c r="C10" s="1">
        <v>45040</v>
      </c>
      <c r="D10" s="2">
        <v>0.70833333333333304</v>
      </c>
      <c r="E10">
        <v>10</v>
      </c>
      <c r="F10" t="s">
        <v>28</v>
      </c>
      <c r="G10" t="s">
        <v>40</v>
      </c>
    </row>
    <row r="11" spans="1:7" x14ac:dyDescent="0.25">
      <c r="B11" t="s">
        <v>17</v>
      </c>
      <c r="C11" s="1">
        <v>45041</v>
      </c>
      <c r="D11" s="2">
        <v>0.75</v>
      </c>
      <c r="E11">
        <v>11</v>
      </c>
      <c r="F11" t="s">
        <v>29</v>
      </c>
    </row>
    <row r="12" spans="1:7" x14ac:dyDescent="0.25">
      <c r="B12" t="s">
        <v>18</v>
      </c>
      <c r="C12" s="1">
        <v>45042</v>
      </c>
      <c r="D12" s="2">
        <v>0.79166666666666696</v>
      </c>
      <c r="E12">
        <v>12</v>
      </c>
      <c r="F12" t="s">
        <v>30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99AA-3810-41B2-909D-55AC6603F866}">
  <dimension ref="A1:C8"/>
  <sheetViews>
    <sheetView workbookViewId="0">
      <selection activeCell="D9" sqref="D9"/>
    </sheetView>
  </sheetViews>
  <sheetFormatPr defaultRowHeight="15" x14ac:dyDescent="0.25"/>
  <sheetData>
    <row r="1" spans="1:3" x14ac:dyDescent="0.25">
      <c r="A1">
        <v>45</v>
      </c>
      <c r="B1">
        <v>25</v>
      </c>
      <c r="C1">
        <f>Tomate+Batata</f>
        <v>70</v>
      </c>
    </row>
    <row r="3" spans="1:3" x14ac:dyDescent="0.25">
      <c r="A3">
        <v>50</v>
      </c>
      <c r="B3">
        <v>12</v>
      </c>
    </row>
    <row r="4" spans="1:3" x14ac:dyDescent="0.25">
      <c r="A4">
        <v>20</v>
      </c>
      <c r="B4">
        <v>30</v>
      </c>
    </row>
    <row r="5" spans="1:3" x14ac:dyDescent="0.25">
      <c r="A5">
        <v>60</v>
      </c>
      <c r="B5">
        <v>12</v>
      </c>
    </row>
    <row r="6" spans="1:3" x14ac:dyDescent="0.25">
      <c r="A6">
        <v>10</v>
      </c>
      <c r="B6">
        <v>49</v>
      </c>
    </row>
    <row r="7" spans="1:3" x14ac:dyDescent="0.25">
      <c r="B7">
        <f>SUM(Valores)</f>
        <v>243</v>
      </c>
    </row>
    <row r="8" spans="1:3" x14ac:dyDescent="0.25">
      <c r="B8">
        <f>Total+500</f>
        <v>743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528E2-7499-4568-AF79-D817D93ADD46}">
  <dimension ref="A1:E10"/>
  <sheetViews>
    <sheetView tabSelected="1" workbookViewId="0">
      <selection activeCell="H8" sqref="H8"/>
    </sheetView>
  </sheetViews>
  <sheetFormatPr defaultRowHeight="15" x14ac:dyDescent="0.25"/>
  <cols>
    <col min="1" max="1" width="16.42578125" customWidth="1"/>
    <col min="2" max="2" width="8.5703125" bestFit="1" customWidth="1"/>
    <col min="3" max="4" width="9.5703125" bestFit="1" customWidth="1"/>
    <col min="5" max="5" width="10.5703125" bestFit="1" customWidth="1"/>
  </cols>
  <sheetData>
    <row r="1" spans="1:5" ht="23.25" customHeight="1" x14ac:dyDescent="0.35">
      <c r="A1" s="4" t="s">
        <v>41</v>
      </c>
      <c r="B1" s="5"/>
      <c r="C1" s="5"/>
      <c r="D1" s="5"/>
      <c r="E1" s="6"/>
    </row>
    <row r="2" spans="1:5" ht="31.5" x14ac:dyDescent="0.25">
      <c r="A2" s="7" t="s">
        <v>42</v>
      </c>
      <c r="B2" s="8" t="s">
        <v>45</v>
      </c>
      <c r="C2" s="7" t="s">
        <v>43</v>
      </c>
      <c r="D2" s="7" t="s">
        <v>44</v>
      </c>
      <c r="E2" s="7" t="s">
        <v>46</v>
      </c>
    </row>
    <row r="3" spans="1:5" x14ac:dyDescent="0.25">
      <c r="A3" s="3" t="s">
        <v>47</v>
      </c>
      <c r="B3" s="9">
        <v>5.4</v>
      </c>
      <c r="C3" s="9">
        <v>15</v>
      </c>
      <c r="D3" s="9">
        <v>9</v>
      </c>
      <c r="E3" s="9">
        <f>SUM(Domingo)</f>
        <v>29.4</v>
      </c>
    </row>
    <row r="4" spans="1:5" x14ac:dyDescent="0.25">
      <c r="A4" s="3" t="s">
        <v>48</v>
      </c>
      <c r="B4" s="9">
        <v>7.6</v>
      </c>
      <c r="C4" s="9">
        <v>18</v>
      </c>
      <c r="D4" s="9">
        <v>11</v>
      </c>
      <c r="E4" s="9">
        <f>SUM(Segunda_feira)</f>
        <v>36.6</v>
      </c>
    </row>
    <row r="5" spans="1:5" x14ac:dyDescent="0.25">
      <c r="A5" s="3" t="s">
        <v>49</v>
      </c>
      <c r="B5" s="9">
        <v>4.7</v>
      </c>
      <c r="C5" s="9">
        <v>22</v>
      </c>
      <c r="D5" s="9">
        <v>8.3000000000000007</v>
      </c>
      <c r="E5" s="9">
        <f>SUM(Terça_feira)</f>
        <v>35</v>
      </c>
    </row>
    <row r="6" spans="1:5" x14ac:dyDescent="0.25">
      <c r="A6" s="3" t="s">
        <v>50</v>
      </c>
      <c r="B6" s="9">
        <v>5.0999999999999996</v>
      </c>
      <c r="C6" s="9">
        <v>17</v>
      </c>
      <c r="D6" s="9">
        <v>9.4</v>
      </c>
      <c r="E6" s="9">
        <f>SUM(Quarta_feira)</f>
        <v>31.5</v>
      </c>
    </row>
    <row r="7" spans="1:5" x14ac:dyDescent="0.25">
      <c r="A7" s="3" t="s">
        <v>51</v>
      </c>
      <c r="B7" s="9">
        <v>8.3000000000000007</v>
      </c>
      <c r="C7" s="9">
        <v>19</v>
      </c>
      <c r="D7" s="9">
        <v>7</v>
      </c>
      <c r="E7" s="9">
        <f>SUM(Quinta_feira)</f>
        <v>34.299999999999997</v>
      </c>
    </row>
    <row r="8" spans="1:5" x14ac:dyDescent="0.25">
      <c r="A8" s="3" t="s">
        <v>52</v>
      </c>
      <c r="B8" s="9">
        <v>6.7</v>
      </c>
      <c r="C8" s="9">
        <v>18</v>
      </c>
      <c r="D8" s="9">
        <v>6.8</v>
      </c>
      <c r="E8" s="9">
        <f>SUM(Sexta_feira)</f>
        <v>31.5</v>
      </c>
    </row>
    <row r="9" spans="1:5" x14ac:dyDescent="0.25">
      <c r="A9" s="3" t="s">
        <v>53</v>
      </c>
      <c r="B9" s="9">
        <v>7.2</v>
      </c>
      <c r="C9" s="9">
        <v>17</v>
      </c>
      <c r="D9" s="9">
        <v>10.4</v>
      </c>
      <c r="E9" s="9">
        <f>SUM(Sábado)</f>
        <v>34.6</v>
      </c>
    </row>
    <row r="10" spans="1:5" x14ac:dyDescent="0.25">
      <c r="D10" s="3" t="s">
        <v>46</v>
      </c>
      <c r="E10" s="10" cm="1">
        <f t="array" ref="E10">SUM(Café_da_manha+Almoço+Jantar)</f>
        <v>232.9</v>
      </c>
    </row>
  </sheetData>
  <mergeCells count="1">
    <mergeCell ref="A1:E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15</vt:i4>
      </vt:variant>
    </vt:vector>
  </HeadingPairs>
  <TitlesOfParts>
    <vt:vector size="18" baseType="lpstr">
      <vt:lpstr>Lista personalizadas</vt:lpstr>
      <vt:lpstr>Nomear Celulas</vt:lpstr>
      <vt:lpstr>Cabeçalhos como nomes em calcul</vt:lpstr>
      <vt:lpstr>Almoço</vt:lpstr>
      <vt:lpstr>Batata</vt:lpstr>
      <vt:lpstr>Café_da_manha</vt:lpstr>
      <vt:lpstr>Dias</vt:lpstr>
      <vt:lpstr>Domingo</vt:lpstr>
      <vt:lpstr>Jantar</vt:lpstr>
      <vt:lpstr>Quarta_feira</vt:lpstr>
      <vt:lpstr>Quinta_feira</vt:lpstr>
      <vt:lpstr>Sábado</vt:lpstr>
      <vt:lpstr>Segunda_feira</vt:lpstr>
      <vt:lpstr>Sexta_feira</vt:lpstr>
      <vt:lpstr>Terça_feira</vt:lpstr>
      <vt:lpstr>Tomate</vt:lpstr>
      <vt:lpstr>Total</vt:lpstr>
      <vt:lpstr>Valores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2026-02-17T18:45:01Z</dcterms:modified>
</cp:coreProperties>
</file>