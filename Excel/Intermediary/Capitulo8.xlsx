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ate1904="1"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Intermediario\"/>
    </mc:Choice>
  </mc:AlternateContent>
  <xr:revisionPtr revIDLastSave="0" documentId="13_ncr:1_{B5BDB590-D57B-4DF3-B110-ECB187FCBEB5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Calculo de medias" sheetId="1" r:id="rId1"/>
    <sheet name="Calculos de data e hora" sheetId="2" r:id="rId2"/>
    <sheet name="Matematica e Trigonometr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3" l="1"/>
  <c r="H4" i="3"/>
  <c r="E4" i="3"/>
  <c r="B9" i="3"/>
  <c r="B10" i="3" s="1"/>
  <c r="A5" i="3"/>
  <c r="B5" i="3" s="1"/>
  <c r="H20" i="2"/>
  <c r="I16" i="2"/>
  <c r="I15" i="2"/>
  <c r="I14" i="2"/>
  <c r="L10" i="2"/>
  <c r="K10" i="2"/>
  <c r="K5" i="2"/>
  <c r="L5" i="2" s="1"/>
  <c r="K6" i="2"/>
  <c r="L6" i="2" s="1"/>
  <c r="K7" i="2"/>
  <c r="L7" i="2" s="1"/>
  <c r="K8" i="2"/>
  <c r="L8" i="2" s="1"/>
  <c r="K4" i="2"/>
  <c r="L4" i="2" s="1"/>
  <c r="B17" i="2"/>
  <c r="B11" i="2"/>
  <c r="B2" i="2"/>
  <c r="B1" i="2"/>
  <c r="B3" i="2" s="1"/>
  <c r="G3" i="1"/>
  <c r="G4" i="1"/>
  <c r="G5" i="1"/>
  <c r="G2" i="1"/>
  <c r="D3" i="1"/>
  <c r="H3" i="1" s="1"/>
  <c r="I3" i="1" s="1"/>
  <c r="D4" i="1"/>
  <c r="H4" i="1" s="1"/>
  <c r="I4" i="1" s="1"/>
  <c r="D5" i="1"/>
  <c r="H5" i="1" s="1"/>
  <c r="I5" i="1" s="1"/>
  <c r="D2" i="1"/>
  <c r="H2" i="1" s="1"/>
  <c r="I2" i="1" s="1"/>
  <c r="B7" i="2" l="1"/>
  <c r="D1" i="2"/>
  <c r="C1" i="2"/>
  <c r="B6" i="2"/>
  <c r="B5" i="2"/>
  <c r="B4" i="2"/>
</calcChain>
</file>

<file path=xl/sharedStrings.xml><?xml version="1.0" encoding="utf-8"?>
<sst xmlns="http://schemas.openxmlformats.org/spreadsheetml/2006/main" count="67" uniqueCount="56">
  <si>
    <t>Alunos</t>
  </si>
  <si>
    <t>1º Trim</t>
  </si>
  <si>
    <t>2º Trim</t>
  </si>
  <si>
    <t>3º Trim</t>
  </si>
  <si>
    <t>4º Trim</t>
  </si>
  <si>
    <t>Gilberto</t>
  </si>
  <si>
    <t>Jose</t>
  </si>
  <si>
    <t>Carlos</t>
  </si>
  <si>
    <t>Rosa</t>
  </si>
  <si>
    <t>Média</t>
  </si>
  <si>
    <t>Final</t>
  </si>
  <si>
    <t>Conclusao</t>
  </si>
  <si>
    <t>Data e Hora atual</t>
  </si>
  <si>
    <t>Data atual</t>
  </si>
  <si>
    <t>Hora atual</t>
  </si>
  <si>
    <t>Dia</t>
  </si>
  <si>
    <t>Mês</t>
  </si>
  <si>
    <t>Ano</t>
  </si>
  <si>
    <t>Dia da semana</t>
  </si>
  <si>
    <t>Dias para vencer</t>
  </si>
  <si>
    <t>Data do vencimento</t>
  </si>
  <si>
    <t>Datas de maio 2023</t>
  </si>
  <si>
    <t xml:space="preserve">Inicio </t>
  </si>
  <si>
    <t>Dias uteis</t>
  </si>
  <si>
    <t>Feriados</t>
  </si>
  <si>
    <t xml:space="preserve">Jornada </t>
  </si>
  <si>
    <t>Semana</t>
  </si>
  <si>
    <t>Entrada</t>
  </si>
  <si>
    <t>Almoço</t>
  </si>
  <si>
    <t>Retorno</t>
  </si>
  <si>
    <t>Saida</t>
  </si>
  <si>
    <t>Total</t>
  </si>
  <si>
    <t>Banco de horas</t>
  </si>
  <si>
    <t>Segunda-feira</t>
  </si>
  <si>
    <t>Terça-feira</t>
  </si>
  <si>
    <t>Quarta-feira</t>
  </si>
  <si>
    <t>Quinta-feira</t>
  </si>
  <si>
    <t>Sexta-feira</t>
  </si>
  <si>
    <t>Soma</t>
  </si>
  <si>
    <t>Data</t>
  </si>
  <si>
    <t>Horarios de atendimento - Plantao</t>
  </si>
  <si>
    <t>Area do circulo</t>
  </si>
  <si>
    <t>Diametro</t>
  </si>
  <si>
    <t>Raio</t>
  </si>
  <si>
    <t>Area</t>
  </si>
  <si>
    <t>Valor de radianos</t>
  </si>
  <si>
    <t>Ângulo</t>
  </si>
  <si>
    <t>Radianos</t>
  </si>
  <si>
    <t>Area do quadrado</t>
  </si>
  <si>
    <t>Comprimento</t>
  </si>
  <si>
    <t>Largura</t>
  </si>
  <si>
    <t>Area Total</t>
  </si>
  <si>
    <t>Area do triangulo</t>
  </si>
  <si>
    <t>Base</t>
  </si>
  <si>
    <t>Altura</t>
  </si>
  <si>
    <t>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</si>
</sst>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8" formatCode="[$-409]h:mm\ AM/PM;@"/>
    <numFmt numFmtId="170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0" fillId="0" borderId="1" xfId="0" applyBorder="1"/>
    <xf numFmtId="22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K5" sqref="K5"/>
    </sheetView>
  </sheetViews>
  <sheetFormatPr defaultRowHeight="15" x14ac:dyDescent="0.25"/>
  <cols>
    <col min="9" max="9" width="1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9</v>
      </c>
      <c r="H1" t="s">
        <v>10</v>
      </c>
      <c r="I1" t="s">
        <v>11</v>
      </c>
    </row>
    <row r="2" spans="1:9" x14ac:dyDescent="0.25">
      <c r="A2" t="s">
        <v>5</v>
      </c>
      <c r="B2">
        <v>8.9</v>
      </c>
      <c r="C2">
        <v>8.1</v>
      </c>
      <c r="D2">
        <f>AVERAGE(B2:C2)</f>
        <v>8.5</v>
      </c>
      <c r="E2">
        <v>9.3000000000000007</v>
      </c>
      <c r="F2">
        <v>8.9</v>
      </c>
      <c r="G2">
        <f>AVERAGE(E2:F2)</f>
        <v>9.1000000000000014</v>
      </c>
      <c r="H2">
        <f>AVERAGE(D2,G2)</f>
        <v>8.8000000000000007</v>
      </c>
      <c r="I2" t="str">
        <f>IF(H2 &gt;= 6,"Aprovado","Reprovado")</f>
        <v>Aprovado</v>
      </c>
    </row>
    <row r="3" spans="1:9" x14ac:dyDescent="0.25">
      <c r="A3" t="s">
        <v>6</v>
      </c>
      <c r="B3">
        <v>7.8</v>
      </c>
      <c r="C3">
        <v>8.6</v>
      </c>
      <c r="D3">
        <f t="shared" ref="D3:D5" si="0">AVERAGE(B3:C3)</f>
        <v>8.1999999999999993</v>
      </c>
      <c r="E3">
        <v>9.1</v>
      </c>
      <c r="F3">
        <v>7.8</v>
      </c>
      <c r="G3">
        <f t="shared" ref="G3:G5" si="1">AVERAGE(E3:F3)</f>
        <v>8.4499999999999993</v>
      </c>
      <c r="H3" s="1">
        <f t="shared" ref="H3:H5" si="2">AVERAGE(D3,G3)</f>
        <v>8.3249999999999993</v>
      </c>
      <c r="I3" t="str">
        <f t="shared" ref="I3:I5" si="3">IF(H3 &gt;= 6,"Aprovado","Reprovado")</f>
        <v>Aprovado</v>
      </c>
    </row>
    <row r="4" spans="1:9" x14ac:dyDescent="0.25">
      <c r="A4" t="s">
        <v>7</v>
      </c>
      <c r="B4">
        <v>4.3</v>
      </c>
      <c r="C4">
        <v>5.4</v>
      </c>
      <c r="D4">
        <f t="shared" si="0"/>
        <v>4.8499999999999996</v>
      </c>
      <c r="E4">
        <v>6.3</v>
      </c>
      <c r="F4">
        <v>4.2</v>
      </c>
      <c r="G4">
        <f t="shared" si="1"/>
        <v>5.25</v>
      </c>
      <c r="H4">
        <f t="shared" si="2"/>
        <v>5.05</v>
      </c>
      <c r="I4" t="str">
        <f t="shared" si="3"/>
        <v>Reprovado</v>
      </c>
    </row>
    <row r="5" spans="1:9" x14ac:dyDescent="0.25">
      <c r="A5" t="s">
        <v>8</v>
      </c>
      <c r="B5">
        <v>7.2</v>
      </c>
      <c r="C5">
        <v>6.4</v>
      </c>
      <c r="D5">
        <f t="shared" si="0"/>
        <v>6.8000000000000007</v>
      </c>
      <c r="E5">
        <v>7.1</v>
      </c>
      <c r="F5">
        <v>8.3000000000000007</v>
      </c>
      <c r="G5">
        <f t="shared" si="1"/>
        <v>7.7</v>
      </c>
      <c r="H5">
        <f t="shared" si="2"/>
        <v>7.25</v>
      </c>
      <c r="I5" t="str">
        <f t="shared" si="3"/>
        <v>Aprovado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1752-5B8A-49A9-8E03-5A11BC253DDB}">
  <dimension ref="A1:L25"/>
  <sheetViews>
    <sheetView workbookViewId="0">
      <selection activeCell="H20" sqref="H20"/>
    </sheetView>
  </sheetViews>
  <sheetFormatPr defaultRowHeight="15" x14ac:dyDescent="0.25"/>
  <cols>
    <col min="1" max="1" width="19" bestFit="1" customWidth="1"/>
    <col min="2" max="2" width="15.85546875" bestFit="1" customWidth="1"/>
    <col min="3" max="3" width="19" customWidth="1"/>
    <col min="4" max="4" width="15.85546875" bestFit="1" customWidth="1"/>
    <col min="6" max="6" width="13.5703125" bestFit="1" customWidth="1"/>
    <col min="7" max="7" width="11.7109375" customWidth="1"/>
    <col min="8" max="8" width="11" customWidth="1"/>
    <col min="12" max="12" width="14.42578125" bestFit="1" customWidth="1"/>
  </cols>
  <sheetData>
    <row r="1" spans="1:12" x14ac:dyDescent="0.25">
      <c r="A1" s="2" t="s">
        <v>12</v>
      </c>
      <c r="B1" s="3">
        <f ca="1">NOW()</f>
        <v>44610.621848379633</v>
      </c>
      <c r="C1" s="6">
        <f ca="1">B1-120</f>
        <v>44490.621848379633</v>
      </c>
      <c r="D1" s="6">
        <f ca="1">B1+80</f>
        <v>44690.621848379633</v>
      </c>
      <c r="F1" t="s">
        <v>25</v>
      </c>
      <c r="G1" s="8">
        <v>0.33333333333333331</v>
      </c>
    </row>
    <row r="2" spans="1:12" x14ac:dyDescent="0.25">
      <c r="A2" s="2" t="s">
        <v>13</v>
      </c>
      <c r="B2" s="4">
        <f ca="1">TODAY()</f>
        <v>44610</v>
      </c>
    </row>
    <row r="3" spans="1:12" x14ac:dyDescent="0.25">
      <c r="A3" s="2" t="s">
        <v>14</v>
      </c>
      <c r="B3" s="2">
        <f ca="1">HOUR(B1)</f>
        <v>14</v>
      </c>
      <c r="F3" s="10" t="s">
        <v>26</v>
      </c>
      <c r="G3" s="10" t="s">
        <v>27</v>
      </c>
      <c r="H3" s="10" t="s">
        <v>28</v>
      </c>
      <c r="I3" s="10" t="s">
        <v>29</v>
      </c>
      <c r="J3" s="10" t="s">
        <v>30</v>
      </c>
      <c r="K3" s="10" t="s">
        <v>31</v>
      </c>
      <c r="L3" s="10" t="s">
        <v>32</v>
      </c>
    </row>
    <row r="4" spans="1:12" x14ac:dyDescent="0.25">
      <c r="A4" s="2" t="s">
        <v>15</v>
      </c>
      <c r="B4" s="2">
        <f ca="1">DAY(B1)</f>
        <v>19</v>
      </c>
      <c r="F4" s="10" t="s">
        <v>33</v>
      </c>
      <c r="G4" s="11">
        <v>0.35416666666666669</v>
      </c>
      <c r="H4" s="11">
        <v>0.5</v>
      </c>
      <c r="I4" s="11">
        <v>0.58333333333333337</v>
      </c>
      <c r="J4" s="11">
        <v>0.75</v>
      </c>
      <c r="K4" s="11">
        <f>(H4-G4)+(J4-I4)</f>
        <v>0.31249999999999994</v>
      </c>
      <c r="L4" s="11">
        <f>$G$1-K4</f>
        <v>2.083333333333337E-2</v>
      </c>
    </row>
    <row r="5" spans="1:12" x14ac:dyDescent="0.25">
      <c r="A5" s="2" t="s">
        <v>16</v>
      </c>
      <c r="B5" s="2">
        <f ca="1">MONTH(B1)</f>
        <v>2</v>
      </c>
      <c r="F5" s="10" t="s">
        <v>34</v>
      </c>
      <c r="G5" s="11">
        <v>0.32500000000000001</v>
      </c>
      <c r="H5" s="11">
        <v>0.50069444444444444</v>
      </c>
      <c r="I5" s="11">
        <v>0.57291666666666663</v>
      </c>
      <c r="J5" s="11">
        <v>0.75069444444444444</v>
      </c>
      <c r="K5" s="11">
        <f t="shared" ref="K5:K8" si="0">(H5-G5)+(J5-I5)</f>
        <v>0.35347222222222224</v>
      </c>
      <c r="L5" s="11">
        <f>$G$1-K5</f>
        <v>-2.0138888888888928E-2</v>
      </c>
    </row>
    <row r="6" spans="1:12" x14ac:dyDescent="0.25">
      <c r="A6" s="2" t="s">
        <v>17</v>
      </c>
      <c r="B6" s="2">
        <f ca="1">YEAR(B1)</f>
        <v>2026</v>
      </c>
      <c r="F6" s="10" t="s">
        <v>35</v>
      </c>
      <c r="G6" s="11">
        <v>0.3354166666666667</v>
      </c>
      <c r="H6" s="11">
        <v>0.53888888888888886</v>
      </c>
      <c r="I6" s="11">
        <v>0.59583333333333333</v>
      </c>
      <c r="J6" s="11">
        <v>0.75069444444444444</v>
      </c>
      <c r="K6" s="11">
        <f t="shared" si="0"/>
        <v>0.35833333333333328</v>
      </c>
      <c r="L6" s="11">
        <f t="shared" ref="L5:L8" si="1">$G$1-K6</f>
        <v>-2.4999999999999967E-2</v>
      </c>
    </row>
    <row r="7" spans="1:12" x14ac:dyDescent="0.25">
      <c r="A7" s="2" t="s">
        <v>18</v>
      </c>
      <c r="B7" s="5">
        <f ca="1">WEEKDAY(B1)</f>
        <v>5</v>
      </c>
      <c r="F7" s="10" t="s">
        <v>36</v>
      </c>
      <c r="G7" s="11">
        <v>0.33124999999999999</v>
      </c>
      <c r="H7" s="11">
        <v>0.50208333333333333</v>
      </c>
      <c r="I7" s="11">
        <v>0.5854166666666667</v>
      </c>
      <c r="J7" s="11">
        <v>0.72916666666666663</v>
      </c>
      <c r="K7" s="11">
        <f t="shared" si="0"/>
        <v>0.31458333333333327</v>
      </c>
      <c r="L7" s="11">
        <f t="shared" si="1"/>
        <v>1.8750000000000044E-2</v>
      </c>
    </row>
    <row r="8" spans="1:12" x14ac:dyDescent="0.25">
      <c r="F8" s="10" t="s">
        <v>37</v>
      </c>
      <c r="G8" s="11">
        <v>0.52083333333333337</v>
      </c>
      <c r="H8" s="11">
        <v>0.5</v>
      </c>
      <c r="I8" s="11">
        <v>0.58333333333333337</v>
      </c>
      <c r="J8" s="11">
        <v>0.75416666666666676</v>
      </c>
      <c r="K8" s="11">
        <f t="shared" si="0"/>
        <v>0.15000000000000002</v>
      </c>
      <c r="L8" s="11">
        <f t="shared" si="1"/>
        <v>0.18333333333333329</v>
      </c>
    </row>
    <row r="9" spans="1:12" x14ac:dyDescent="0.25">
      <c r="A9" s="2" t="s">
        <v>13</v>
      </c>
      <c r="B9" s="4">
        <v>46071</v>
      </c>
      <c r="F9" s="12"/>
      <c r="G9" s="12"/>
      <c r="H9" s="12"/>
      <c r="I9" s="12"/>
      <c r="J9" s="12"/>
      <c r="K9" s="12"/>
      <c r="L9" s="12"/>
    </row>
    <row r="10" spans="1:12" x14ac:dyDescent="0.25">
      <c r="A10" s="2" t="s">
        <v>19</v>
      </c>
      <c r="B10" s="2">
        <v>45</v>
      </c>
      <c r="F10" s="12"/>
      <c r="G10" s="12"/>
      <c r="H10" s="12"/>
      <c r="I10" s="12"/>
      <c r="J10" s="10" t="s">
        <v>38</v>
      </c>
      <c r="K10" s="13">
        <f>SUM(K4:K8)</f>
        <v>1.4888888888888885</v>
      </c>
      <c r="L10" s="13">
        <f>SUM(L4:L8)</f>
        <v>0.17777777777777781</v>
      </c>
    </row>
    <row r="11" spans="1:12" x14ac:dyDescent="0.25">
      <c r="A11" s="2" t="s">
        <v>20</v>
      </c>
      <c r="B11" s="4">
        <f>WORKDAY(B9,B10)</f>
        <v>46134</v>
      </c>
    </row>
    <row r="13" spans="1:12" x14ac:dyDescent="0.25">
      <c r="A13" s="9" t="s">
        <v>21</v>
      </c>
      <c r="B13" s="9"/>
      <c r="D13" t="s">
        <v>24</v>
      </c>
      <c r="F13" t="s">
        <v>39</v>
      </c>
      <c r="G13" t="s">
        <v>27</v>
      </c>
      <c r="H13" t="s">
        <v>30</v>
      </c>
      <c r="I13" t="s">
        <v>31</v>
      </c>
    </row>
    <row r="14" spans="1:12" x14ac:dyDescent="0.25">
      <c r="A14" s="2" t="s">
        <v>22</v>
      </c>
      <c r="B14" s="4">
        <v>45047</v>
      </c>
      <c r="D14" s="7">
        <v>44927</v>
      </c>
      <c r="F14" s="7">
        <v>43496</v>
      </c>
      <c r="G14" s="8">
        <v>0.91666666666666663</v>
      </c>
      <c r="H14" s="8">
        <v>0.25</v>
      </c>
      <c r="I14" s="8">
        <f>(H14-G14)+1</f>
        <v>0.33333333333333337</v>
      </c>
    </row>
    <row r="15" spans="1:12" x14ac:dyDescent="0.25">
      <c r="A15" s="2" t="s">
        <v>10</v>
      </c>
      <c r="B15" s="4">
        <v>45291</v>
      </c>
      <c r="D15" s="7">
        <v>44977</v>
      </c>
      <c r="F15" s="7">
        <v>43497</v>
      </c>
      <c r="G15" s="14">
        <v>0.91666666666666663</v>
      </c>
      <c r="H15" s="14">
        <v>0.25</v>
      </c>
      <c r="I15" s="14">
        <f>MOD(H15-G15,1)</f>
        <v>0.33333333333333337</v>
      </c>
    </row>
    <row r="16" spans="1:12" x14ac:dyDescent="0.25">
      <c r="A16" s="2"/>
      <c r="B16" s="2"/>
      <c r="D16" s="7">
        <v>44978</v>
      </c>
      <c r="F16" s="7">
        <v>43498</v>
      </c>
      <c r="G16" s="8">
        <v>0.29166666666666669</v>
      </c>
      <c r="H16" s="8">
        <v>0.54166666666666663</v>
      </c>
      <c r="I16" s="8">
        <f>(H16-G16)+1</f>
        <v>1.25</v>
      </c>
    </row>
    <row r="17" spans="1:8" x14ac:dyDescent="0.25">
      <c r="A17" s="2" t="s">
        <v>23</v>
      </c>
      <c r="B17" s="2">
        <f>NETWORKDAYS(B14,B15,D14:D25)</f>
        <v>171</v>
      </c>
      <c r="D17" s="7">
        <v>45023</v>
      </c>
    </row>
    <row r="18" spans="1:8" x14ac:dyDescent="0.25">
      <c r="D18" s="7">
        <v>45037</v>
      </c>
      <c r="F18" s="15" t="s">
        <v>40</v>
      </c>
      <c r="G18" s="15"/>
      <c r="H18" s="15"/>
    </row>
    <row r="19" spans="1:8" x14ac:dyDescent="0.25">
      <c r="D19" s="7">
        <v>45047</v>
      </c>
      <c r="F19" t="s">
        <v>27</v>
      </c>
      <c r="G19" t="s">
        <v>30</v>
      </c>
      <c r="H19" t="s">
        <v>31</v>
      </c>
    </row>
    <row r="20" spans="1:8" x14ac:dyDescent="0.25">
      <c r="D20" s="7">
        <v>45085</v>
      </c>
      <c r="F20" s="7">
        <v>43524</v>
      </c>
      <c r="G20" s="7">
        <v>43533</v>
      </c>
      <c r="H20" s="16">
        <f>G20-F20</f>
        <v>9</v>
      </c>
    </row>
    <row r="21" spans="1:8" x14ac:dyDescent="0.25">
      <c r="D21" s="7">
        <v>45176</v>
      </c>
    </row>
    <row r="22" spans="1:8" x14ac:dyDescent="0.25">
      <c r="D22" s="7">
        <v>45211</v>
      </c>
    </row>
    <row r="23" spans="1:8" x14ac:dyDescent="0.25">
      <c r="D23" s="7">
        <v>45232</v>
      </c>
    </row>
    <row r="24" spans="1:8" x14ac:dyDescent="0.25">
      <c r="D24" s="7">
        <v>45976</v>
      </c>
    </row>
    <row r="25" spans="1:8" x14ac:dyDescent="0.25">
      <c r="D25" s="7">
        <v>45285</v>
      </c>
    </row>
  </sheetData>
  <mergeCells count="2">
    <mergeCell ref="A13:B13"/>
    <mergeCell ref="F18:H1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72B0-D654-4E43-A778-A4F14ED14E3C}">
  <dimension ref="A1:H10"/>
  <sheetViews>
    <sheetView tabSelected="1" workbookViewId="0">
      <selection activeCell="G11" sqref="G11"/>
    </sheetView>
  </sheetViews>
  <sheetFormatPr defaultRowHeight="15" x14ac:dyDescent="0.25"/>
  <cols>
    <col min="4" max="4" width="13.42578125" bestFit="1" customWidth="1"/>
    <col min="7" max="7" width="13.42578125" bestFit="1" customWidth="1"/>
  </cols>
  <sheetData>
    <row r="1" spans="1:8" x14ac:dyDescent="0.25">
      <c r="A1" s="17" t="s">
        <v>41</v>
      </c>
      <c r="B1" s="18"/>
      <c r="D1" s="17" t="s">
        <v>48</v>
      </c>
      <c r="E1" s="18"/>
      <c r="G1" s="17" t="s">
        <v>52</v>
      </c>
      <c r="H1" s="18"/>
    </row>
    <row r="2" spans="1:8" x14ac:dyDescent="0.25">
      <c r="A2" s="2" t="s">
        <v>42</v>
      </c>
      <c r="B2" s="2">
        <v>9</v>
      </c>
      <c r="D2" s="2" t="s">
        <v>49</v>
      </c>
      <c r="E2" s="2">
        <v>10</v>
      </c>
      <c r="G2" s="2" t="s">
        <v>53</v>
      </c>
      <c r="H2" s="2">
        <v>10</v>
      </c>
    </row>
    <row r="3" spans="1:8" x14ac:dyDescent="0.25">
      <c r="A3" s="2"/>
      <c r="B3" s="2"/>
      <c r="D3" s="2" t="s">
        <v>50</v>
      </c>
      <c r="E3" s="2">
        <v>30</v>
      </c>
      <c r="G3" s="2" t="s">
        <v>54</v>
      </c>
      <c r="H3" s="2">
        <v>30</v>
      </c>
    </row>
    <row r="4" spans="1:8" x14ac:dyDescent="0.25">
      <c r="A4" s="2" t="s">
        <v>43</v>
      </c>
      <c r="B4" s="2" t="s">
        <v>44</v>
      </c>
      <c r="D4" s="2" t="s">
        <v>51</v>
      </c>
      <c r="E4" s="2">
        <f>E2*E3</f>
        <v>300</v>
      </c>
      <c r="G4" s="2" t="s">
        <v>51</v>
      </c>
      <c r="H4" s="2">
        <f>(H2*H3)/2</f>
        <v>150</v>
      </c>
    </row>
    <row r="5" spans="1:8" x14ac:dyDescent="0.25">
      <c r="A5" s="2">
        <f>B2/2</f>
        <v>4.5</v>
      </c>
      <c r="B5" s="19">
        <f>PI()*(A5*A5)</f>
        <v>63.617251235193308</v>
      </c>
    </row>
    <row r="7" spans="1:8" x14ac:dyDescent="0.25">
      <c r="A7" s="17" t="s">
        <v>45</v>
      </c>
      <c r="B7" s="18"/>
      <c r="D7" t="s">
        <v>55</v>
      </c>
      <c r="E7">
        <f>POWER(3,3)</f>
        <v>27</v>
      </c>
    </row>
    <row r="8" spans="1:8" x14ac:dyDescent="0.25">
      <c r="A8" s="2" t="s">
        <v>46</v>
      </c>
      <c r="B8" s="2">
        <v>180</v>
      </c>
    </row>
    <row r="9" spans="1:8" x14ac:dyDescent="0.25">
      <c r="A9" s="2" t="s">
        <v>47</v>
      </c>
      <c r="B9" s="19">
        <f>RADIANS(B8)</f>
        <v>3.1415926535897931</v>
      </c>
    </row>
    <row r="10" spans="1:8" x14ac:dyDescent="0.25">
      <c r="A10" s="2" t="s">
        <v>46</v>
      </c>
      <c r="B10" s="2">
        <f>DEGREES(B9)</f>
        <v>180</v>
      </c>
    </row>
  </sheetData>
  <mergeCells count="4">
    <mergeCell ref="A1:B1"/>
    <mergeCell ref="A7:B7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Calculo de medias</vt:lpstr>
      <vt:lpstr>Calculos de data e hora</vt:lpstr>
      <vt:lpstr>Matematica e Trigonometria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2026-02-19T17:55:41Z</dcterms:modified>
</cp:coreProperties>
</file>